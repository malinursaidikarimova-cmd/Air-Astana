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Баланс" sheetId="1" r:id="rId1"/>
    <sheet name="ОПиУ" sheetId="2" r:id="rId2"/>
    <sheet name="ОДДС" sheetId="3" r:id="rId3"/>
    <sheet name="Коэффициенты" sheetId="4" r:id="rId4"/>
    <sheet name="Инпут" sheetId="5" r:id="rId5"/>
    <sheet name="Проверки" sheetId="6" r:id="rId6"/>
    <sheet name="Источники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<sst xmlns="http://schemas.openxmlformats.org/spreadsheetml/2006/main" count="246" uniqueCount="198">
  <si>
    <t>тыс. тенге</t>
  </si>
  <si>
    <t>Удельный вес 2021,%</t>
  </si>
  <si>
    <t>Удельный вес 2022,%</t>
  </si>
  <si>
    <t>Удельный вес 2023,%</t>
  </si>
  <si>
    <t>Удельный вес 2024,%</t>
  </si>
  <si>
    <t>Удельный вес 2025,%</t>
  </si>
  <si>
    <t>Темп прироста 2021-2022,%</t>
  </si>
  <si>
    <t>Темп прироста 2022-2023,%</t>
  </si>
  <si>
    <t>Темп прироста 2023-2024,%</t>
  </si>
  <si>
    <t>Темп прироста 2024-2025,%</t>
  </si>
  <si>
    <t>Активы</t>
  </si>
  <si>
    <t>Долгосрочные активы</t>
  </si>
  <si>
    <t>Основные средства</t>
  </si>
  <si>
    <t>Нематериальные активы</t>
  </si>
  <si>
    <t>Авансы выданные</t>
  </si>
  <si>
    <t>Гарантийные депозиты</t>
  </si>
  <si>
    <t>Отложенные налоговые активы</t>
  </si>
  <si>
    <t>Торговая и прочая дебиторская задолженность</t>
  </si>
  <si>
    <t>Текущие активы</t>
  </si>
  <si>
    <t>Товарно-материальные запасы</t>
  </si>
  <si>
    <t>Авансы выданные, текущие</t>
  </si>
  <si>
    <t>Предоплата по подоходному налогу</t>
  </si>
  <si>
    <t>Предоплата по прочим налогам</t>
  </si>
  <si>
    <t>Гарантийные депозиты, текущие</t>
  </si>
  <si>
    <t>Денежные средства и их эквиваленты</t>
  </si>
  <si>
    <t>Прочие финансовые активы</t>
  </si>
  <si>
    <t>Итого активы</t>
  </si>
  <si>
    <t>Собственный капитал и обязательства</t>
  </si>
  <si>
    <t>Собственный капитал</t>
  </si>
  <si>
    <t>Акционерный капитал</t>
  </si>
  <si>
    <t>Дополнительно оплаченный капитал</t>
  </si>
  <si>
    <t>Прочие резервы</t>
  </si>
  <si>
    <t>Выкупленные акции</t>
  </si>
  <si>
    <t>Резерв по пересчету валюты отчетности</t>
  </si>
  <si>
    <t>Резерв по инструментам хеджирования, за вычетом налога</t>
  </si>
  <si>
    <t>Нераспределенная прибыль</t>
  </si>
  <si>
    <t>Итого собственный капитал</t>
  </si>
  <si>
    <t>Долгосрочные обязательства</t>
  </si>
  <si>
    <t>Займы</t>
  </si>
  <si>
    <t>Обязательства по аренде, долгосрочные</t>
  </si>
  <si>
    <t>Резерв на техническое обслуживание воздушных судов</t>
  </si>
  <si>
    <t>Вознаграждение работникам</t>
  </si>
  <si>
    <t>Текущие обязательства</t>
  </si>
  <si>
    <t>Обязательства по аренде</t>
  </si>
  <si>
    <t>Доходы будущих периодов</t>
  </si>
  <si>
    <t>Торговая и прочая кредиторская задолженность</t>
  </si>
  <si>
    <t>Прочие финансовые обязательства</t>
  </si>
  <si>
    <t>Подоходный налог к уплате</t>
  </si>
  <si>
    <t>Итого обязательства</t>
  </si>
  <si>
    <t>Итого собственный капитал и обязательства</t>
  </si>
  <si>
    <t>тыс.тенге</t>
  </si>
  <si>
    <t>Выручка и прочие доходы</t>
  </si>
  <si>
    <t>Пассажирские перевозки</t>
  </si>
  <si>
    <t>Груз и почта</t>
  </si>
  <si>
    <t>Прочие доходы</t>
  </si>
  <si>
    <t>Прибыль от продажи с обратной арендой</t>
  </si>
  <si>
    <t>Всего выручки и прочих доходов</t>
  </si>
  <si>
    <t>Операционные расходы</t>
  </si>
  <si>
    <t>Топливо</t>
  </si>
  <si>
    <t>Расходы по персоналу и экипажу</t>
  </si>
  <si>
    <t>Износ и амортизация</t>
  </si>
  <si>
    <t>Инженерно-техническое обслуживание</t>
  </si>
  <si>
    <t>Аэропортовое обслуживание и навигация</t>
  </si>
  <si>
    <t>Обслуживание пассажиров</t>
  </si>
  <si>
    <t>Расходы по реализации</t>
  </si>
  <si>
    <t>Страхование</t>
  </si>
  <si>
    <t>Информационные технологии</t>
  </si>
  <si>
    <t>Консультационные и профессиональные услуги</t>
  </si>
  <si>
    <t>Налоги</t>
  </si>
  <si>
    <t>Расходы по имуществу и офису</t>
  </si>
  <si>
    <t>Переменные расходы по аренде воздушных судов</t>
  </si>
  <si>
    <t>Убытки от обесценения дебиторской задолженности</t>
  </si>
  <si>
    <t>Прочие операционные расходы</t>
  </si>
  <si>
    <t>Всего операционные расходы</t>
  </si>
  <si>
    <t>Операционная прибыль</t>
  </si>
  <si>
    <t>Финансовые доходы</t>
  </si>
  <si>
    <t>Финансовые расходы</t>
  </si>
  <si>
    <t>Убыток от курсовой разницы, нетто</t>
  </si>
  <si>
    <t>Прибыль до налогообложения</t>
  </si>
  <si>
    <t>Расход по подоходному налогу</t>
  </si>
  <si>
    <t>Прибыль за год</t>
  </si>
  <si>
    <t>Базовая и разводненная прибыль на акцию - базовая и разводненная, тенге</t>
  </si>
  <si>
    <t>Отчет о движении денежных средств</t>
  </si>
  <si>
    <t>Показатель</t>
  </si>
  <si>
    <t>ОПЕРАЦИОННАЯ ДЕЯТЕЛЬНОСТЬ</t>
  </si>
  <si>
    <t>Корректировки:</t>
  </si>
  <si>
    <t>Износ и амортизация основных средств и нематериальных активов</t>
  </si>
  <si>
    <t>Доход от выбытия основных средств</t>
  </si>
  <si>
    <t>Изменение резерва под обесценение дебиторской задолженности, авансов, гарантийных депозитов, денежных средств и их эквивалентов</t>
  </si>
  <si>
    <t>Изменение резерва на неликвидные товарно-материальные запасы</t>
  </si>
  <si>
    <t>Изменение в резерве отпусков</t>
  </si>
  <si>
    <t>Изменение в резерве по техническому обслуживанию воздушных судов</t>
  </si>
  <si>
    <t>Изменение в резерве по программе лояльности клиентов</t>
  </si>
  <si>
    <t>Эффект отсрочки платежей по аренде, связанной с COVID-19</t>
  </si>
  <si>
    <t>Доход от досрочного возврата двигателя/воздушных судов</t>
  </si>
  <si>
    <t>Обесценение основных средств</t>
  </si>
  <si>
    <t>Прочее изменение капитала</t>
  </si>
  <si>
    <t>Выплаты, основанные на акциях</t>
  </si>
  <si>
    <t>Денежные средства, полученные от операционной деятельности до изменений в оборотном капитале</t>
  </si>
  <si>
    <t>Изменение торговой и прочей дебиторской задолженности</t>
  </si>
  <si>
    <t>Изменение в предоплатах и авансах выданных</t>
  </si>
  <si>
    <t>Изменение товарно-материальных запасов</t>
  </si>
  <si>
    <t>Изменение торговой и прочей кредиторской задолженности и резерве по техническому обслуживанию воздушных судов</t>
  </si>
  <si>
    <t>Изменение доходов будущих периодов</t>
  </si>
  <si>
    <t>Изменение по прочим финансовым инструментам</t>
  </si>
  <si>
    <t>Денежные средства, полученные от операционной деятельности</t>
  </si>
  <si>
    <t>Уплаченный подоходный налог</t>
  </si>
  <si>
    <t>Полученное вознаграждение</t>
  </si>
  <si>
    <t>Чистые денежные средства, полученные от операционной деятельности</t>
  </si>
  <si>
    <t>ИНВЕСТИЦИОННАЯ ДЕЯТЕЛЬНОСТЬ</t>
  </si>
  <si>
    <t>Приобретение основных средств</t>
  </si>
  <si>
    <t>Поступления от продажи с обратной арендой</t>
  </si>
  <si>
    <t>Поступления от продажи основных средств</t>
  </si>
  <si>
    <t>Приобретение нематериальных активов</t>
  </si>
  <si>
    <t>Размещение банковских и гарантийных депозитов</t>
  </si>
  <si>
    <t>Погашение банковских и гарантийных депозитов</t>
  </si>
  <si>
    <t>Чистые денежные средства, использованные в/полученные от инвестиционной деятельности</t>
  </si>
  <si>
    <t>ФИНАНСОВАЯ ДЕЯТЕЛЬНОСТЬ</t>
  </si>
  <si>
    <t>Выплаты по аренде</t>
  </si>
  <si>
    <t>Уплаченное вознаграждение</t>
  </si>
  <si>
    <t>Возврат займов и дополнительного финансирования от продажи с обратной арендой</t>
  </si>
  <si>
    <t>Полученные займы и дополнительное финансирование от продажи с обратной арендой</t>
  </si>
  <si>
    <t>Выкуп казначейских акций</t>
  </si>
  <si>
    <t>Погашение казначейских акций</t>
  </si>
  <si>
    <t>Поступления от выпуска акций</t>
  </si>
  <si>
    <t>Выплаченные дивиденды</t>
  </si>
  <si>
    <t>Чистые денежные средства, использованные в финансовой деятельности</t>
  </si>
  <si>
    <t>Чистое увеличение/(уменьшение) денежных средств и их эквивалентов</t>
  </si>
  <si>
    <t>Влияние изменений обменных курсов на денежные средства</t>
  </si>
  <si>
    <t>Влияние движения ожидаемых кредитных убытков на денежные средства</t>
  </si>
  <si>
    <t>Курсовые разницы при пересчете из других валют</t>
  </si>
  <si>
    <t>Денежные средства и их эквиваленты на начало года</t>
  </si>
  <si>
    <t>Денежные средства и их эквиваленты на конец года</t>
  </si>
  <si>
    <t>РАСЧЕТНЫЕ ПОКАЗАТЕЛИ</t>
  </si>
  <si>
    <t>Capex = приобретение основных средств</t>
  </si>
  <si>
    <t>FCF = CFO - Capex</t>
  </si>
  <si>
    <t>CFO / чистая прибыль</t>
  </si>
  <si>
    <t>Коэффициент</t>
  </si>
  <si>
    <t>Расчетная валовая маржа</t>
  </si>
  <si>
    <t>Операционная маржа</t>
  </si>
  <si>
    <t>Чистая маржа</t>
  </si>
  <si>
    <t>Коэффициент текущей ликвидности</t>
  </si>
  <si>
    <t>Коэффициент быстрой ликвидности</t>
  </si>
  <si>
    <t>Коэффициент абсолютной ликвидности</t>
  </si>
  <si>
    <t>Коэффициент автономии</t>
  </si>
  <si>
    <t>Коэффициент финансового левериджа</t>
  </si>
  <si>
    <t>Покрытие финансовых расходов</t>
  </si>
  <si>
    <t>Чистый оборотный капитал, тыс. тг</t>
  </si>
  <si>
    <t>Год</t>
  </si>
  <si>
    <t>Компания</t>
  </si>
  <si>
    <t>Валюта</t>
  </si>
  <si>
    <t>Масштаб</t>
  </si>
  <si>
    <t>Источник</t>
  </si>
  <si>
    <t>Выручка всего</t>
  </si>
  <si>
    <t>Чистая прибыль</t>
  </si>
  <si>
    <t>Активы всего</t>
  </si>
  <si>
    <t>Обязательства всего</t>
  </si>
  <si>
    <t>Капитал</t>
  </si>
  <si>
    <t>Денежные средства</t>
  </si>
  <si>
    <t>Дебиторская задолженность</t>
  </si>
  <si>
    <t>Запасы</t>
  </si>
  <si>
    <t>Займы всего</t>
  </si>
  <si>
    <t>Обязательства по аренде всего</t>
  </si>
  <si>
    <t>Итого долг</t>
  </si>
  <si>
    <t>CFO</t>
  </si>
  <si>
    <t>CFI</t>
  </si>
  <si>
    <t>CFF</t>
  </si>
  <si>
    <t>Capex</t>
  </si>
  <si>
    <t>ROA</t>
  </si>
  <si>
    <t>ROE</t>
  </si>
  <si>
    <t>Долг / Активы</t>
  </si>
  <si>
    <t>Долг / Капитал</t>
  </si>
  <si>
    <t>FCF</t>
  </si>
  <si>
    <t>Air Astana</t>
  </si>
  <si>
    <t>KZT</t>
  </si>
  <si>
    <t>Финансовая отчетность Air Astana; листы Баланс и ОДДС,ОПиУ</t>
  </si>
  <si>
    <t>Проверка</t>
  </si>
  <si>
    <t>Баланс сходится</t>
  </si>
  <si>
    <t>Документ</t>
  </si>
  <si>
    <t>Файл / ссылка</t>
  </si>
  <si>
    <t>2021</t>
  </si>
  <si>
    <t>Финансовая отчетность Air Astana за 2021 год</t>
  </si>
  <si>
    <t>C:/Users/malin/Downloads/финансовая_отчетность-_за_2021_год.pdf</t>
  </si>
  <si>
    <t>2022</t>
  </si>
  <si>
    <t>Финансовая отчетность Air Astana за 2022 год</t>
  </si>
  <si>
    <t>C:/Users/malin/Downloads/fs_aa_kzt_2022_signed.pdf</t>
  </si>
  <si>
    <t>2023-2025</t>
  </si>
  <si>
    <t>Исходный Excel с анализом</t>
  </si>
  <si>
    <t>C:/Users/malin/Downloads/ЭйрАстана.xlsx</t>
  </si>
  <si>
    <t>2021-2022</t>
  </si>
  <si>
    <t>Полный ОДДС</t>
  </si>
  <si>
    <t>Финансовая отчетность Air Astana за 2021-2022 годы</t>
  </si>
  <si>
    <t>2023</t>
  </si>
  <si>
    <t>https://ir.airastana.com/media/8dc44aa8f61bda7/aa-fs-2023-conso-usd.pdf</t>
  </si>
  <si>
    <t>2024</t>
  </si>
  <si>
    <t>https://ir.airastana.com/media/8dd62d1cc357574/fs-aa-usd-2024-conso-eng-final-signed.pdf</t>
  </si>
  <si>
    <t>2025</t>
  </si>
  <si>
    <t>https://ir.airastana.com/media/8de832fbd001d0b/fs-aa-usd-2025-eng-final-formatted-signed-final.pdf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</si>
</sst>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0" fillId="0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vertical="top" wrapText="1"/>
    </xf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2" applyNumberFormat="1">
      <alignment vertical="center"/>
    </xf>
    <xf numFmtId="0" fontId="0" fillId="0" borderId="0" xfId="0" applyAlignment="1">
      <alignment vertical="top" wrapText="1"/>
    </xf>
    <xf numFmtId="180" fontId="0" fillId="0" borderId="0" xfId="0" applyNumberFormat="1"/>
    <xf numFmtId="180" fontId="0" fillId="0" borderId="0" xfId="0" applyNumberFormat="1" applyFill="1"/>
    <xf numFmtId="2" fontId="0" fillId="0" borderId="0" xfId="0" applyNumberFormat="1"/>
    <xf numFmtId="0" fontId="0" fillId="0" borderId="0" xfId="0" applyFill="1" applyAlignment="1">
      <alignment horizontal="center" wrapText="1"/>
    </xf>
    <xf numFmtId="2" fontId="0" fillId="0" borderId="0" xfId="0" applyNumberFormat="1" applyFill="1"/>
    <xf numFmtId="0" fontId="2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top" wrapText="1"/>
    </xf>
    <xf numFmtId="180" fontId="2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top" wrapText="1"/>
    </xf>
    <xf numFmtId="180" fontId="2" fillId="0" borderId="0" xfId="0" applyNumberFormat="1" applyFont="1" applyFill="1" applyBorder="1" applyAlignment="1">
      <alignment horizontal="right" vertical="center"/>
    </xf>
    <xf numFmtId="2" fontId="2" fillId="0" borderId="0" xfId="0" applyNumberFormat="1" applyFont="1" applyFill="1" applyBorder="1" applyAlignment="1">
      <alignment horizontal="righ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5"/>
  <sheetViews>
    <sheetView tabSelected="1" zoomScale="46" zoomScaleNormal="46" workbookViewId="0">
      <pane xSplit="1" ySplit="1" topLeftCell="B2" activePane="bottomRight" state="frozen"/>
      <selection/>
      <selection pane="topRight"/>
      <selection pane="bottomLeft"/>
      <selection pane="bottomRight" activeCell="V22" sqref="V22"/>
    </sheetView>
  </sheetViews>
  <sheetFormatPr defaultColWidth="9" defaultRowHeight="14.4"/>
  <cols>
    <col min="1" max="1" width="36.712962962963" customWidth="1"/>
    <col min="2" max="6" width="15.712962962963" customWidth="1"/>
    <col min="7" max="11" width="18.712962962963" customWidth="1"/>
    <col min="12" max="15" width="22.712962962963" customWidth="1"/>
  </cols>
  <sheetData>
    <row r="1" ht="28.8" customHeight="1" spans="1:15">
      <c r="A1" s="8" t="s">
        <v>0</v>
      </c>
      <c r="B1" s="8">
        <v>2021</v>
      </c>
      <c r="C1" s="8">
        <v>2022</v>
      </c>
      <c r="D1" s="8">
        <v>2023</v>
      </c>
      <c r="E1" s="8">
        <v>2024</v>
      </c>
      <c r="F1" s="8">
        <v>2025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6</v>
      </c>
      <c r="M1" s="8" t="s">
        <v>7</v>
      </c>
      <c r="N1" s="8" t="s">
        <v>8</v>
      </c>
      <c r="O1" s="8" t="s">
        <v>9</v>
      </c>
    </row>
    <row r="2" spans="1:15">
      <c r="A2" t="s">
        <v>10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>
      <c r="A3" t="s">
        <v>11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>
      <c r="A4" s="10" t="s">
        <v>12</v>
      </c>
      <c r="B4" s="11">
        <v>311845960</v>
      </c>
      <c r="C4" s="11">
        <v>378255700</v>
      </c>
      <c r="D4" s="11">
        <v>387885139</v>
      </c>
      <c r="E4" s="11">
        <v>558341061</v>
      </c>
      <c r="F4" s="11">
        <v>604500136</v>
      </c>
      <c r="G4" s="13">
        <f t="shared" ref="G4:G9" si="0">B4/$B$19*100</f>
        <v>65.5239147884666</v>
      </c>
      <c r="H4" s="13">
        <f t="shared" ref="H4:H9" si="1">C4/$C$19*100</f>
        <v>65.3610471954789</v>
      </c>
      <c r="I4" s="13">
        <f t="shared" ref="I4:I9" si="2">D4/$D$19*100</f>
        <v>62.631565174032</v>
      </c>
      <c r="J4" s="13">
        <f t="shared" ref="J4:J9" si="3">E4/$E$19*100</f>
        <v>58.6453402123905</v>
      </c>
      <c r="K4" s="13">
        <f t="shared" ref="K4:K9" si="4">F4/$F$19*100</f>
        <v>58.1438319431143</v>
      </c>
      <c r="L4" s="13">
        <f t="shared" ref="L4:L9" si="5">(C4-B4)/B4*100</f>
        <v>21.2956871398943</v>
      </c>
      <c r="M4" s="13">
        <f t="shared" ref="M4:M9" si="6">(D4-C4)/C4*100</f>
        <v>2.54574855051755</v>
      </c>
      <c r="N4" s="13">
        <f t="shared" ref="N4:N9" si="7">(E4-D4)/D4*100</f>
        <v>43.9449478367358</v>
      </c>
      <c r="O4" s="13">
        <f t="shared" ref="O4:O9" si="8">(F4-E4)/E4*100</f>
        <v>8.26718259218267</v>
      </c>
    </row>
    <row r="5" spans="1:15">
      <c r="A5" s="10" t="s">
        <v>13</v>
      </c>
      <c r="B5" s="11">
        <v>659790</v>
      </c>
      <c r="C5" s="11">
        <v>718495</v>
      </c>
      <c r="D5" s="11">
        <v>1289132</v>
      </c>
      <c r="E5" s="11">
        <v>3160112</v>
      </c>
      <c r="F5" s="11">
        <v>3286956</v>
      </c>
      <c r="G5" s="13">
        <f t="shared" si="0"/>
        <v>0.138632624063119</v>
      </c>
      <c r="H5" s="13">
        <f t="shared" si="1"/>
        <v>0.124153015023212</v>
      </c>
      <c r="I5" s="13">
        <f t="shared" si="2"/>
        <v>0.208155319082565</v>
      </c>
      <c r="J5" s="13">
        <f t="shared" si="3"/>
        <v>0.33192228960796</v>
      </c>
      <c r="K5" s="13">
        <f t="shared" si="4"/>
        <v>0.316155788703431</v>
      </c>
      <c r="L5" s="13">
        <f t="shared" si="5"/>
        <v>8.89752800133376</v>
      </c>
      <c r="M5" s="13">
        <f t="shared" si="6"/>
        <v>79.4211511562363</v>
      </c>
      <c r="N5" s="13">
        <f t="shared" si="7"/>
        <v>145.134865940804</v>
      </c>
      <c r="O5" s="13">
        <f t="shared" si="8"/>
        <v>4.01390836780469</v>
      </c>
    </row>
    <row r="6" spans="1:15">
      <c r="A6" s="10" t="s">
        <v>14</v>
      </c>
      <c r="B6" s="11">
        <v>7037908</v>
      </c>
      <c r="C6" s="11">
        <v>7178940</v>
      </c>
      <c r="D6" s="11">
        <v>8387087</v>
      </c>
      <c r="E6" s="11">
        <v>10287430</v>
      </c>
      <c r="F6" s="11">
        <v>10275403</v>
      </c>
      <c r="G6" s="13">
        <f t="shared" si="0"/>
        <v>1.47877908721687</v>
      </c>
      <c r="H6" s="13">
        <f t="shared" si="1"/>
        <v>1.24049164666523</v>
      </c>
      <c r="I6" s="13">
        <f t="shared" si="2"/>
        <v>1.35425757072064</v>
      </c>
      <c r="J6" s="13">
        <f t="shared" si="3"/>
        <v>1.08053996813455</v>
      </c>
      <c r="K6" s="13">
        <f t="shared" si="4"/>
        <v>0.988339405733025</v>
      </c>
      <c r="L6" s="13">
        <f t="shared" si="5"/>
        <v>2.00389092895218</v>
      </c>
      <c r="M6" s="13">
        <f t="shared" si="6"/>
        <v>16.8290443993124</v>
      </c>
      <c r="N6" s="13">
        <f t="shared" si="7"/>
        <v>22.6579621744713</v>
      </c>
      <c r="O6" s="13">
        <f t="shared" si="8"/>
        <v>-0.116909665484966</v>
      </c>
    </row>
    <row r="7" spans="1:15">
      <c r="A7" s="10" t="s">
        <v>15</v>
      </c>
      <c r="B7" s="11">
        <v>7761173</v>
      </c>
      <c r="C7" s="11">
        <v>13657428</v>
      </c>
      <c r="D7" s="11">
        <v>15137757</v>
      </c>
      <c r="E7" s="11">
        <v>20319131</v>
      </c>
      <c r="F7" s="11">
        <v>22723574</v>
      </c>
      <c r="G7" s="13">
        <f t="shared" si="0"/>
        <v>1.6307488425072</v>
      </c>
      <c r="H7" s="13">
        <f t="shared" si="1"/>
        <v>2.35994803535506</v>
      </c>
      <c r="I7" s="13">
        <f t="shared" si="2"/>
        <v>2.44428393564766</v>
      </c>
      <c r="J7" s="13">
        <f t="shared" si="3"/>
        <v>2.13421944676773</v>
      </c>
      <c r="K7" s="13">
        <f t="shared" si="4"/>
        <v>2.18566645252652</v>
      </c>
      <c r="L7" s="13">
        <f t="shared" si="5"/>
        <v>75.9711837373036</v>
      </c>
      <c r="M7" s="13">
        <f t="shared" si="6"/>
        <v>10.8390027756324</v>
      </c>
      <c r="N7" s="13">
        <f t="shared" si="7"/>
        <v>34.2281488598344</v>
      </c>
      <c r="O7" s="13">
        <f t="shared" si="8"/>
        <v>11.8333948435098</v>
      </c>
    </row>
    <row r="8" spans="1:15">
      <c r="A8" s="10" t="s">
        <v>16</v>
      </c>
      <c r="B8" s="11">
        <v>1170610</v>
      </c>
      <c r="C8" s="11">
        <v>8553011</v>
      </c>
      <c r="D8" s="11">
        <v>16836902</v>
      </c>
      <c r="E8" s="11">
        <v>25521921</v>
      </c>
      <c r="F8" s="11">
        <v>40910015</v>
      </c>
      <c r="G8" s="13">
        <f t="shared" si="0"/>
        <v>0.245964225063319</v>
      </c>
      <c r="H8" s="13">
        <f t="shared" si="1"/>
        <v>1.47792552930319</v>
      </c>
      <c r="I8" s="13">
        <f t="shared" si="2"/>
        <v>2.71864379145959</v>
      </c>
      <c r="J8" s="13">
        <f t="shared" si="3"/>
        <v>2.68069437207082</v>
      </c>
      <c r="K8" s="13">
        <f t="shared" si="4"/>
        <v>3.93492886980969</v>
      </c>
      <c r="L8" s="13">
        <f t="shared" si="5"/>
        <v>630.645646286979</v>
      </c>
      <c r="M8" s="13">
        <f t="shared" si="6"/>
        <v>96.853505742013</v>
      </c>
      <c r="N8" s="13">
        <f t="shared" si="7"/>
        <v>51.5832366310619</v>
      </c>
      <c r="O8" s="13">
        <f t="shared" si="8"/>
        <v>60.2936354203118</v>
      </c>
    </row>
    <row r="9" ht="28.8" customHeight="1" spans="1:15">
      <c r="A9" s="10" t="s">
        <v>17</v>
      </c>
      <c r="B9" s="11">
        <v>1559230</v>
      </c>
      <c r="C9" s="11">
        <v>601445</v>
      </c>
      <c r="D9" s="11">
        <v>610474</v>
      </c>
      <c r="E9" s="11">
        <v>330819</v>
      </c>
      <c r="F9" s="11">
        <v>839685</v>
      </c>
      <c r="G9" s="13">
        <f t="shared" si="0"/>
        <v>0.32761961596559</v>
      </c>
      <c r="H9" s="13">
        <f t="shared" si="1"/>
        <v>0.103927250879457</v>
      </c>
      <c r="I9" s="13">
        <f t="shared" si="2"/>
        <v>0.0985728461178607</v>
      </c>
      <c r="J9" s="13">
        <f t="shared" si="3"/>
        <v>0.0347475658855812</v>
      </c>
      <c r="K9" s="13">
        <f t="shared" si="4"/>
        <v>0.0807650827809804</v>
      </c>
      <c r="L9" s="13">
        <f t="shared" si="5"/>
        <v>-61.4267939944716</v>
      </c>
      <c r="M9" s="13">
        <f t="shared" si="6"/>
        <v>1.50121790022363</v>
      </c>
      <c r="N9" s="13">
        <f t="shared" si="7"/>
        <v>-45.8094857438646</v>
      </c>
      <c r="O9" s="13">
        <f t="shared" si="8"/>
        <v>153.820064748397</v>
      </c>
    </row>
    <row r="10" spans="1:15">
      <c r="A10" t="s">
        <v>18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>
      <c r="A11" s="10" t="s">
        <v>19</v>
      </c>
      <c r="B11" s="11">
        <v>22261449</v>
      </c>
      <c r="C11" s="11">
        <v>22750814</v>
      </c>
      <c r="D11" s="11">
        <v>30704619</v>
      </c>
      <c r="E11" s="11">
        <v>34724999</v>
      </c>
      <c r="F11" s="11">
        <v>43686386</v>
      </c>
      <c r="G11" s="13">
        <f t="shared" ref="G11:G19" si="9">B11/$B$19*100</f>
        <v>4.67749297551841</v>
      </c>
      <c r="H11" s="13">
        <f t="shared" ref="H11:H19" si="10">C11/$C$19*100</f>
        <v>3.93124816781231</v>
      </c>
      <c r="I11" s="13">
        <f t="shared" ref="I11:I19" si="11">D11/$D$19*100</f>
        <v>4.95785518104709</v>
      </c>
      <c r="J11" s="13">
        <f t="shared" ref="J11:J19" si="12">E11/$E$19*100</f>
        <v>3.6473394533846</v>
      </c>
      <c r="K11" s="13">
        <f t="shared" ref="K11:K19" si="13">F11/$F$19*100</f>
        <v>4.20197405180736</v>
      </c>
      <c r="L11" s="13">
        <f t="shared" ref="L11:L19" si="14">(C11-B11)/B11*100</f>
        <v>2.19826211672025</v>
      </c>
      <c r="M11" s="13">
        <f t="shared" ref="M11:M19" si="15">(D11-C11)/C11*100</f>
        <v>34.9605293243574</v>
      </c>
      <c r="N11" s="13">
        <f t="shared" ref="N11:N19" si="16">(E11-D11)/D11*100</f>
        <v>13.0937302951064</v>
      </c>
      <c r="O11" s="13">
        <f t="shared" ref="O11:O19" si="17">(F11-E11)/E11*100</f>
        <v>25.8067307647727</v>
      </c>
    </row>
    <row r="12" spans="1:15">
      <c r="A12" s="10" t="s">
        <v>20</v>
      </c>
      <c r="B12" s="11">
        <v>11457381</v>
      </c>
      <c r="C12" s="11">
        <v>9720739</v>
      </c>
      <c r="D12" s="11">
        <v>11284452</v>
      </c>
      <c r="E12" s="11">
        <v>15905582</v>
      </c>
      <c r="F12" s="11">
        <v>15880719</v>
      </c>
      <c r="G12" s="13">
        <f t="shared" si="9"/>
        <v>2.40738233819991</v>
      </c>
      <c r="H12" s="13">
        <f t="shared" si="10"/>
        <v>1.67970418041006</v>
      </c>
      <c r="I12" s="13">
        <f t="shared" si="11"/>
        <v>1.82209324315267</v>
      </c>
      <c r="J12" s="13">
        <f t="shared" si="12"/>
        <v>1.67064243134014</v>
      </c>
      <c r="K12" s="13">
        <f t="shared" si="13"/>
        <v>1.52748659873225</v>
      </c>
      <c r="L12" s="13">
        <f t="shared" si="14"/>
        <v>-15.157408137165</v>
      </c>
      <c r="M12" s="13">
        <f t="shared" si="15"/>
        <v>16.0863592778286</v>
      </c>
      <c r="N12" s="13">
        <f t="shared" si="16"/>
        <v>40.951301844343</v>
      </c>
      <c r="O12" s="13">
        <f t="shared" si="17"/>
        <v>-0.156316191384886</v>
      </c>
    </row>
    <row r="13" spans="1:15">
      <c r="A13" s="10" t="s">
        <v>21</v>
      </c>
      <c r="B13" s="11">
        <v>1135634</v>
      </c>
      <c r="C13" s="11">
        <v>4153672</v>
      </c>
      <c r="D13" s="11">
        <v>6027011</v>
      </c>
      <c r="E13" s="11">
        <v>6825905</v>
      </c>
      <c r="F13" s="11">
        <v>3591791</v>
      </c>
      <c r="G13" s="13">
        <f t="shared" si="9"/>
        <v>0.238615197858858</v>
      </c>
      <c r="H13" s="13">
        <f t="shared" si="10"/>
        <v>0.717737635220141</v>
      </c>
      <c r="I13" s="13">
        <f t="shared" si="11"/>
        <v>0.973177609289919</v>
      </c>
      <c r="J13" s="13">
        <f t="shared" si="12"/>
        <v>0.71695877115951</v>
      </c>
      <c r="K13" s="13">
        <f t="shared" si="13"/>
        <v>0.34547633630109</v>
      </c>
      <c r="L13" s="13">
        <f t="shared" si="14"/>
        <v>265.757981885009</v>
      </c>
      <c r="M13" s="13">
        <f t="shared" si="15"/>
        <v>45.1007927443477</v>
      </c>
      <c r="N13" s="13">
        <f t="shared" si="16"/>
        <v>13.2552271764561</v>
      </c>
      <c r="O13" s="13">
        <f t="shared" si="17"/>
        <v>-47.3800030911652</v>
      </c>
    </row>
    <row r="14" ht="28.8" customHeight="1" spans="1:15">
      <c r="A14" s="10" t="s">
        <v>17</v>
      </c>
      <c r="B14" s="11">
        <v>6103061</v>
      </c>
      <c r="C14" s="11">
        <v>9857684</v>
      </c>
      <c r="D14" s="11">
        <v>10693524</v>
      </c>
      <c r="E14" s="11">
        <v>10922813</v>
      </c>
      <c r="F14" s="11">
        <v>13142263</v>
      </c>
      <c r="G14" s="13">
        <f t="shared" si="9"/>
        <v>1.28235250799085</v>
      </c>
      <c r="H14" s="13">
        <f t="shared" si="10"/>
        <v>1.70336771967248</v>
      </c>
      <c r="I14" s="13">
        <f t="shared" si="11"/>
        <v>1.72667647714669</v>
      </c>
      <c r="J14" s="13">
        <f t="shared" si="12"/>
        <v>1.14727740659812</v>
      </c>
      <c r="K14" s="13">
        <f t="shared" si="13"/>
        <v>1.26408827015418</v>
      </c>
      <c r="L14" s="13">
        <f t="shared" si="14"/>
        <v>61.5203256202093</v>
      </c>
      <c r="M14" s="13">
        <f t="shared" si="15"/>
        <v>8.47907074318877</v>
      </c>
      <c r="N14" s="13">
        <f t="shared" si="16"/>
        <v>2.14418558372338</v>
      </c>
      <c r="O14" s="13">
        <f t="shared" si="17"/>
        <v>20.3193994074603</v>
      </c>
    </row>
    <row r="15" spans="1:15">
      <c r="A15" s="10" t="s">
        <v>22</v>
      </c>
      <c r="B15" s="11">
        <v>3328746</v>
      </c>
      <c r="C15" s="11">
        <v>3876082</v>
      </c>
      <c r="D15" s="11">
        <v>4657876</v>
      </c>
      <c r="E15" s="11">
        <v>7242317</v>
      </c>
      <c r="F15" s="11">
        <v>16126407</v>
      </c>
      <c r="G15" s="13">
        <f t="shared" si="9"/>
        <v>0.699423745160749</v>
      </c>
      <c r="H15" s="13">
        <f t="shared" si="10"/>
        <v>0.669771211737315</v>
      </c>
      <c r="I15" s="13">
        <f t="shared" si="11"/>
        <v>0.752104256993871</v>
      </c>
      <c r="J15" s="13">
        <f t="shared" si="12"/>
        <v>0.760696595787317</v>
      </c>
      <c r="K15" s="13">
        <f t="shared" si="13"/>
        <v>1.55111809346932</v>
      </c>
      <c r="L15" s="13">
        <f t="shared" si="14"/>
        <v>16.4427084553763</v>
      </c>
      <c r="M15" s="13">
        <f t="shared" si="15"/>
        <v>20.1696971323104</v>
      </c>
      <c r="N15" s="13">
        <f t="shared" si="16"/>
        <v>55.4853972067955</v>
      </c>
      <c r="O15" s="13">
        <f t="shared" si="17"/>
        <v>122.669167891988</v>
      </c>
    </row>
    <row r="16" spans="1:15">
      <c r="A16" s="10" t="s">
        <v>23</v>
      </c>
      <c r="B16" s="11">
        <v>677062</v>
      </c>
      <c r="C16" s="11">
        <v>1626677</v>
      </c>
      <c r="D16" s="11">
        <v>899574</v>
      </c>
      <c r="E16" s="11">
        <v>1700831</v>
      </c>
      <c r="F16" s="11">
        <v>25524210</v>
      </c>
      <c r="G16" s="13">
        <f t="shared" si="9"/>
        <v>0.142261752547664</v>
      </c>
      <c r="H16" s="13">
        <f t="shared" si="10"/>
        <v>0.281083172490989</v>
      </c>
      <c r="I16" s="13">
        <f t="shared" si="11"/>
        <v>0.145253638113381</v>
      </c>
      <c r="J16" s="13">
        <f t="shared" si="12"/>
        <v>0.178646744088879</v>
      </c>
      <c r="K16" s="13">
        <f t="shared" si="13"/>
        <v>2.45504556300175</v>
      </c>
      <c r="L16" s="13">
        <f t="shared" si="14"/>
        <v>140.255249888489</v>
      </c>
      <c r="M16" s="13">
        <f t="shared" si="15"/>
        <v>-44.6986709715574</v>
      </c>
      <c r="N16" s="13">
        <f t="shared" si="16"/>
        <v>89.0707156943175</v>
      </c>
      <c r="O16" s="13">
        <f t="shared" si="17"/>
        <v>1400.6905447984</v>
      </c>
    </row>
    <row r="17" spans="1:15">
      <c r="A17" s="10" t="s">
        <v>24</v>
      </c>
      <c r="B17" s="11">
        <v>97740953</v>
      </c>
      <c r="C17" s="11">
        <v>116998633</v>
      </c>
      <c r="D17" s="11">
        <v>124552167</v>
      </c>
      <c r="E17" s="11">
        <v>256622307</v>
      </c>
      <c r="F17" s="11">
        <v>239053004</v>
      </c>
      <c r="G17" s="13">
        <f t="shared" si="9"/>
        <v>20.5369659934524</v>
      </c>
      <c r="H17" s="13">
        <f t="shared" si="10"/>
        <v>20.2168881349825</v>
      </c>
      <c r="I17" s="13">
        <f t="shared" si="11"/>
        <v>20.1113587005132</v>
      </c>
      <c r="J17" s="13">
        <f t="shared" si="12"/>
        <v>26.9543179811085</v>
      </c>
      <c r="K17" s="13">
        <f t="shared" si="13"/>
        <v>22.9933077964976</v>
      </c>
      <c r="L17" s="13">
        <f t="shared" si="14"/>
        <v>19.7027749463421</v>
      </c>
      <c r="M17" s="13">
        <f t="shared" si="15"/>
        <v>6.45608739719207</v>
      </c>
      <c r="N17" s="13">
        <f t="shared" si="16"/>
        <v>106.036003371985</v>
      </c>
      <c r="O17" s="13">
        <f t="shared" si="17"/>
        <v>-6.84636624360173</v>
      </c>
    </row>
    <row r="18" spans="1:15">
      <c r="A18" s="10" t="s">
        <v>25</v>
      </c>
      <c r="B18" s="11">
        <v>3187979</v>
      </c>
      <c r="C18" s="11">
        <v>767999</v>
      </c>
      <c r="D18" s="11">
        <v>346829</v>
      </c>
      <c r="E18" s="11">
        <v>158583</v>
      </c>
      <c r="F18" s="11">
        <v>122844</v>
      </c>
      <c r="G18" s="13">
        <f t="shared" si="9"/>
        <v>0.669846305988447</v>
      </c>
      <c r="H18" s="13">
        <f t="shared" si="10"/>
        <v>0.132707104969153</v>
      </c>
      <c r="I18" s="13">
        <f t="shared" si="11"/>
        <v>0.0560022566828587</v>
      </c>
      <c r="J18" s="13">
        <f t="shared" si="12"/>
        <v>0.0166567616758201</v>
      </c>
      <c r="K18" s="13">
        <f t="shared" si="13"/>
        <v>0.0118157473685332</v>
      </c>
      <c r="L18" s="13">
        <f t="shared" si="14"/>
        <v>-75.9095339084731</v>
      </c>
      <c r="M18" s="13">
        <f t="shared" si="15"/>
        <v>-54.8399151561395</v>
      </c>
      <c r="N18" s="13">
        <f t="shared" si="16"/>
        <v>-54.2763148410312</v>
      </c>
      <c r="O18" s="13">
        <f t="shared" si="17"/>
        <v>-22.5364635553622</v>
      </c>
    </row>
    <row r="19" spans="1:15">
      <c r="A19" s="10" t="s">
        <v>26</v>
      </c>
      <c r="B19" s="11">
        <v>475926936</v>
      </c>
      <c r="C19" s="11">
        <v>578717319</v>
      </c>
      <c r="D19" s="11">
        <v>619312543</v>
      </c>
      <c r="E19" s="11">
        <v>952063811</v>
      </c>
      <c r="F19" s="11">
        <v>1039663393</v>
      </c>
      <c r="G19" s="13">
        <f t="shared" si="9"/>
        <v>100</v>
      </c>
      <c r="H19" s="13">
        <f t="shared" si="10"/>
        <v>100</v>
      </c>
      <c r="I19" s="13">
        <f t="shared" si="11"/>
        <v>100</v>
      </c>
      <c r="J19" s="13">
        <f t="shared" si="12"/>
        <v>100</v>
      </c>
      <c r="K19" s="13">
        <f t="shared" si="13"/>
        <v>100</v>
      </c>
      <c r="L19" s="13">
        <f t="shared" si="14"/>
        <v>21.5979334693508</v>
      </c>
      <c r="M19" s="13">
        <f t="shared" si="15"/>
        <v>7.0146896709687</v>
      </c>
      <c r="N19" s="13">
        <f t="shared" si="16"/>
        <v>53.7291343056167</v>
      </c>
      <c r="O19" s="13">
        <f t="shared" si="17"/>
        <v>9.20102003541021</v>
      </c>
    </row>
    <row r="20" spans="1:15">
      <c r="A20" t="s">
        <v>27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>
      <c r="A21" t="s">
        <v>28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>
      <c r="A22" s="10" t="s">
        <v>29</v>
      </c>
      <c r="B22" s="11">
        <v>2501550</v>
      </c>
      <c r="C22" s="11">
        <v>2501550</v>
      </c>
      <c r="D22" s="11">
        <v>2501550</v>
      </c>
      <c r="E22" s="11">
        <v>56758223</v>
      </c>
      <c r="F22" s="11">
        <v>56758223</v>
      </c>
      <c r="G22" s="13">
        <f t="shared" ref="G22:G29" si="18">B22/$B$29*100</f>
        <v>9.05572160296137</v>
      </c>
      <c r="H22" s="13">
        <f t="shared" ref="H22:H29" si="19">C22/$C$29*100</f>
        <v>3.55097787845329</v>
      </c>
      <c r="I22" s="13">
        <f t="shared" ref="I22:I29" si="20">D22/$D$29*100</f>
        <v>2.57933061753756</v>
      </c>
      <c r="J22" s="13">
        <f t="shared" ref="J22:J29" si="21">E22/$E$29*100</f>
        <v>27.3967137018513</v>
      </c>
      <c r="K22" s="13">
        <f t="shared" ref="K22:K29" si="22">F22/$F$29*100</f>
        <v>30.4008751912554</v>
      </c>
      <c r="L22" s="13">
        <f>(C22-B22)/B22*100</f>
        <v>0</v>
      </c>
      <c r="M22" s="13">
        <f>(D22-C22)/C22*100</f>
        <v>0</v>
      </c>
      <c r="N22" s="13">
        <f>(E22-D22)/D22*100</f>
        <v>2168.92218824329</v>
      </c>
      <c r="O22" s="13">
        <f t="shared" ref="O22:O29" si="23">(F22-E22)/E22*100</f>
        <v>0</v>
      </c>
    </row>
    <row r="23" spans="1:15">
      <c r="A23" s="10" t="s">
        <v>30</v>
      </c>
      <c r="B23" s="11">
        <v>48996</v>
      </c>
      <c r="C23" s="11">
        <v>48996</v>
      </c>
      <c r="D23" s="11">
        <v>48996</v>
      </c>
      <c r="E23" s="11">
        <v>48996</v>
      </c>
      <c r="F23" s="11">
        <v>48996</v>
      </c>
      <c r="G23" s="13">
        <f t="shared" si="18"/>
        <v>0.177367686297973</v>
      </c>
      <c r="H23" s="13">
        <f t="shared" si="19"/>
        <v>0.0695503636276298</v>
      </c>
      <c r="I23" s="13">
        <f t="shared" si="20"/>
        <v>0.0505194311274491</v>
      </c>
      <c r="J23" s="13">
        <f t="shared" si="21"/>
        <v>0.0236499543781684</v>
      </c>
      <c r="K23" s="13">
        <f t="shared" si="22"/>
        <v>0.0262432684136491</v>
      </c>
      <c r="L23" s="13">
        <f>(C23-B23)/B23*100</f>
        <v>0</v>
      </c>
      <c r="M23" s="13">
        <f>(D23-C23)/C23*100</f>
        <v>0</v>
      </c>
      <c r="N23" s="13">
        <f>(E23-D23)/D23*100</f>
        <v>0</v>
      </c>
      <c r="O23" s="13">
        <f t="shared" si="23"/>
        <v>0</v>
      </c>
    </row>
    <row r="24" spans="1:15">
      <c r="A24" s="10" t="s">
        <v>31</v>
      </c>
      <c r="B24" s="11">
        <v>0</v>
      </c>
      <c r="C24" s="11">
        <v>0</v>
      </c>
      <c r="D24" s="11">
        <v>0</v>
      </c>
      <c r="E24" s="11">
        <v>1455281</v>
      </c>
      <c r="F24" s="11">
        <v>-691711</v>
      </c>
      <c r="G24" s="13">
        <f t="shared" si="18"/>
        <v>0</v>
      </c>
      <c r="H24" s="13">
        <f t="shared" si="19"/>
        <v>0</v>
      </c>
      <c r="I24" s="13">
        <f t="shared" si="20"/>
        <v>0</v>
      </c>
      <c r="J24" s="13">
        <f t="shared" si="21"/>
        <v>0.702451817646649</v>
      </c>
      <c r="K24" s="13">
        <f t="shared" si="22"/>
        <v>-0.370494681967377</v>
      </c>
      <c r="L24" s="13">
        <v>0</v>
      </c>
      <c r="M24" s="13">
        <v>0</v>
      </c>
      <c r="N24" s="13">
        <v>0</v>
      </c>
      <c r="O24" s="13">
        <f t="shared" si="23"/>
        <v>-147.53109536921</v>
      </c>
    </row>
    <row r="25" spans="1:15">
      <c r="A25" s="10" t="s">
        <v>32</v>
      </c>
      <c r="B25" s="11">
        <v>0</v>
      </c>
      <c r="C25" s="11">
        <v>0</v>
      </c>
      <c r="D25" s="11">
        <v>0</v>
      </c>
      <c r="E25" s="11">
        <v>-3952306</v>
      </c>
      <c r="F25" s="11">
        <v>-2624585</v>
      </c>
      <c r="G25" s="13">
        <f t="shared" si="18"/>
        <v>0</v>
      </c>
      <c r="H25" s="13">
        <f t="shared" si="19"/>
        <v>0</v>
      </c>
      <c r="I25" s="13">
        <f t="shared" si="20"/>
        <v>0</v>
      </c>
      <c r="J25" s="13">
        <f t="shared" si="21"/>
        <v>-1.90774464422731</v>
      </c>
      <c r="K25" s="13">
        <f t="shared" si="22"/>
        <v>-1.40578187259036</v>
      </c>
      <c r="L25" s="13">
        <v>0</v>
      </c>
      <c r="M25" s="13">
        <v>0</v>
      </c>
      <c r="N25" s="13">
        <v>0</v>
      </c>
      <c r="O25" s="13">
        <f t="shared" si="23"/>
        <v>-33.5935780276122</v>
      </c>
    </row>
    <row r="26" spans="1:15">
      <c r="A26" s="10" t="s">
        <v>33</v>
      </c>
      <c r="B26" s="11">
        <v>10002799</v>
      </c>
      <c r="C26" s="11">
        <v>11930890</v>
      </c>
      <c r="D26" s="11">
        <v>12323792</v>
      </c>
      <c r="E26" s="11">
        <v>40842148</v>
      </c>
      <c r="F26" s="11">
        <v>34332765</v>
      </c>
      <c r="G26" s="13">
        <f t="shared" si="18"/>
        <v>36.2105746414744</v>
      </c>
      <c r="H26" s="13">
        <f t="shared" si="19"/>
        <v>16.9360302453517</v>
      </c>
      <c r="I26" s="13">
        <f t="shared" si="20"/>
        <v>12.7069752872277</v>
      </c>
      <c r="J26" s="13">
        <f t="shared" si="21"/>
        <v>19.71415905189</v>
      </c>
      <c r="K26" s="13">
        <f t="shared" si="22"/>
        <v>18.3893372372793</v>
      </c>
      <c r="L26" s="13">
        <f>(C26-B26)/B26*100</f>
        <v>19.2755147834121</v>
      </c>
      <c r="M26" s="13">
        <f>(D26-C26)/C26*100</f>
        <v>3.29314912801979</v>
      </c>
      <c r="N26" s="13">
        <f>(E26-D26)/D26*100</f>
        <v>231.408936470203</v>
      </c>
      <c r="O26" s="13">
        <f t="shared" si="23"/>
        <v>-15.9379056165214</v>
      </c>
    </row>
    <row r="27" ht="28.8" customHeight="1" spans="1:15">
      <c r="A27" s="10" t="s">
        <v>34</v>
      </c>
      <c r="B27" s="11">
        <v>-11723938</v>
      </c>
      <c r="C27" s="11">
        <v>-8412107</v>
      </c>
      <c r="D27" s="11">
        <v>-5489830</v>
      </c>
      <c r="E27" s="11">
        <v>-1965955</v>
      </c>
      <c r="F27" s="11">
        <v>-60737</v>
      </c>
      <c r="G27" s="13">
        <f t="shared" si="18"/>
        <v>-42.4411739195218</v>
      </c>
      <c r="H27" s="13">
        <f t="shared" si="19"/>
        <v>-11.9410788783682</v>
      </c>
      <c r="I27" s="13">
        <f t="shared" si="20"/>
        <v>-5.66052511605854</v>
      </c>
      <c r="J27" s="13">
        <f t="shared" si="21"/>
        <v>-0.948949833854437</v>
      </c>
      <c r="K27" s="13">
        <f t="shared" si="22"/>
        <v>-0.03253199023675</v>
      </c>
      <c r="L27" s="13">
        <f>(C27-B27)/B27*100</f>
        <v>-28.2484520133082</v>
      </c>
      <c r="M27" s="13">
        <f>(D27-C27)/C27*100</f>
        <v>-34.7389423363255</v>
      </c>
      <c r="N27" s="13">
        <f>(E27-D27)/D27*100</f>
        <v>-64.1891461119925</v>
      </c>
      <c r="O27" s="13">
        <f t="shared" si="23"/>
        <v>-96.9105600077316</v>
      </c>
    </row>
    <row r="28" spans="1:15">
      <c r="A28" s="10" t="s">
        <v>35</v>
      </c>
      <c r="B28" s="11">
        <v>26749565</v>
      </c>
      <c r="C28" s="11">
        <v>64377463</v>
      </c>
      <c r="D28" s="11">
        <v>87599957</v>
      </c>
      <c r="E28" s="11">
        <v>113985260</v>
      </c>
      <c r="F28" s="11">
        <v>98936355</v>
      </c>
      <c r="G28" s="13">
        <f t="shared" si="18"/>
        <v>96.8346079991683</v>
      </c>
      <c r="H28" s="13">
        <f t="shared" si="19"/>
        <v>91.3845203909356</v>
      </c>
      <c r="I28" s="13">
        <f t="shared" si="20"/>
        <v>90.3236997801658</v>
      </c>
      <c r="J28" s="13">
        <f t="shared" si="21"/>
        <v>55.0197199523157</v>
      </c>
      <c r="K28" s="13">
        <f t="shared" si="22"/>
        <v>52.9923528478461</v>
      </c>
      <c r="L28" s="13">
        <f>(C28-B28)/B28*100</f>
        <v>140.667326739706</v>
      </c>
      <c r="M28" s="13">
        <f>(D28-C28)/C28*100</f>
        <v>36.072396950467</v>
      </c>
      <c r="N28" s="13">
        <f>(E28-D28)/D28*100</f>
        <v>30.1202236891509</v>
      </c>
      <c r="O28" s="13">
        <f t="shared" si="23"/>
        <v>-13.2025009198558</v>
      </c>
    </row>
    <row r="29" spans="1:15">
      <c r="A29" s="10" t="s">
        <v>36</v>
      </c>
      <c r="B29" s="11">
        <v>27623972</v>
      </c>
      <c r="C29" s="11">
        <v>70446792</v>
      </c>
      <c r="D29" s="11">
        <v>96984465</v>
      </c>
      <c r="E29" s="11">
        <v>207171647</v>
      </c>
      <c r="F29" s="11">
        <v>186699306</v>
      </c>
      <c r="G29" s="13">
        <f t="shared" si="18"/>
        <v>100</v>
      </c>
      <c r="H29" s="13">
        <f t="shared" si="19"/>
        <v>100</v>
      </c>
      <c r="I29" s="13">
        <f t="shared" si="20"/>
        <v>100</v>
      </c>
      <c r="J29" s="13">
        <f t="shared" si="21"/>
        <v>100</v>
      </c>
      <c r="K29" s="13">
        <f t="shared" si="22"/>
        <v>100</v>
      </c>
      <c r="L29" s="13">
        <f>(C29-B29)/B29*100</f>
        <v>155.0205017584</v>
      </c>
      <c r="M29" s="13">
        <f>(D29-C29)/C29*100</f>
        <v>37.6705201849362</v>
      </c>
      <c r="N29" s="13">
        <f>(E29-D29)/D29*100</f>
        <v>113.613228675335</v>
      </c>
      <c r="O29" s="13">
        <f t="shared" si="23"/>
        <v>-9.88182567279585</v>
      </c>
    </row>
    <row r="30" spans="1:15">
      <c r="A30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>
      <c r="A31" s="10" t="s">
        <v>38</v>
      </c>
      <c r="B31" s="11">
        <v>2054936</v>
      </c>
      <c r="C31" s="11">
        <v>1925549</v>
      </c>
      <c r="D31" s="11">
        <v>0</v>
      </c>
      <c r="E31" s="11">
        <v>273582</v>
      </c>
      <c r="F31" s="11">
        <v>2509956</v>
      </c>
      <c r="G31" s="13">
        <f>B31/$B$43*100</f>
        <v>0.458381087125714</v>
      </c>
      <c r="H31" s="13">
        <f>C31/$C$43*100</f>
        <v>0.378843331988046</v>
      </c>
      <c r="I31" s="13">
        <f>D31/$D$43*100</f>
        <v>0</v>
      </c>
      <c r="J31" s="13">
        <f>E31/$E$43*100</f>
        <v>0.0367277323110624</v>
      </c>
      <c r="K31" s="13">
        <f>F31/$F$43*100</f>
        <v>0.294262799366839</v>
      </c>
      <c r="L31" s="13">
        <f>(C31-B31)/B31*100</f>
        <v>-6.29640047183951</v>
      </c>
      <c r="M31" s="13">
        <f>(D31-C31)/C31*100</f>
        <v>-100</v>
      </c>
      <c r="N31" s="13">
        <v>0</v>
      </c>
      <c r="O31" s="13">
        <f>(F31-E31)/E31*100</f>
        <v>817.441936969538</v>
      </c>
    </row>
    <row r="32" spans="1:15">
      <c r="A32" s="10" t="s">
        <v>39</v>
      </c>
      <c r="B32" s="11">
        <v>250676740</v>
      </c>
      <c r="C32" s="11">
        <v>265658719</v>
      </c>
      <c r="D32" s="11">
        <v>247233366</v>
      </c>
      <c r="E32" s="11">
        <v>376385720</v>
      </c>
      <c r="F32" s="11">
        <v>427807796</v>
      </c>
      <c r="G32" s="13">
        <f>B32/$B$43*100</f>
        <v>55.9168152187368</v>
      </c>
      <c r="H32" s="13">
        <f>C32/$C$43*100</f>
        <v>52.2671893977437</v>
      </c>
      <c r="I32" s="13">
        <f>D32/$D$43*100</f>
        <v>47.3329649339663</v>
      </c>
      <c r="J32" s="13">
        <f>E32/$E$43*100</f>
        <v>50.5288870242432</v>
      </c>
      <c r="K32" s="13">
        <f>F32/$F$43*100</f>
        <v>50.155428876808</v>
      </c>
      <c r="L32" s="13">
        <f>(C32-B32)/B32*100</f>
        <v>5.97661314727485</v>
      </c>
      <c r="M32" s="13">
        <f>(D32-C32)/C32*100</f>
        <v>-6.93572304698194</v>
      </c>
      <c r="N32" s="13">
        <f>(E32-D32)/D32*100</f>
        <v>52.2390468930476</v>
      </c>
      <c r="O32" s="13">
        <f>(F32-E32)/E32*100</f>
        <v>13.662068794746</v>
      </c>
    </row>
    <row r="33" ht="28.8" customHeight="1" spans="1:15">
      <c r="A33" s="10" t="s">
        <v>40</v>
      </c>
      <c r="B33" s="11">
        <v>37331701</v>
      </c>
      <c r="C33" s="11">
        <v>54573269</v>
      </c>
      <c r="D33" s="11">
        <v>67555798</v>
      </c>
      <c r="E33" s="11">
        <v>152211535</v>
      </c>
      <c r="F33" s="11">
        <v>133618151</v>
      </c>
      <c r="G33" s="13">
        <f>B33/$B$43*100</f>
        <v>8.32733753685376</v>
      </c>
      <c r="H33" s="13">
        <f>C33/$C$43*100</f>
        <v>10.7370516488752</v>
      </c>
      <c r="I33" s="13">
        <f>D33/$D$43*100</f>
        <v>12.9335949655764</v>
      </c>
      <c r="J33" s="13">
        <f>E33/$E$43*100</f>
        <v>20.4340362748131</v>
      </c>
      <c r="K33" s="13">
        <f>F33/$F$43*100</f>
        <v>15.6651555483367</v>
      </c>
      <c r="L33" s="13">
        <f>(C33-B33)/B33*100</f>
        <v>46.1847907760753</v>
      </c>
      <c r="M33" s="13">
        <f>(D33-C33)/C33*100</f>
        <v>23.7891723143798</v>
      </c>
      <c r="N33" s="13">
        <f>(E33-D33)/D33*100</f>
        <v>125.312318862698</v>
      </c>
      <c r="O33" s="13">
        <f>(F33-E33)/E33*100</f>
        <v>-12.2154894502575</v>
      </c>
    </row>
    <row r="34" spans="1:15">
      <c r="A34" s="10" t="s">
        <v>41</v>
      </c>
      <c r="B34" s="11">
        <v>701675</v>
      </c>
      <c r="C34" s="11">
        <v>1049290</v>
      </c>
      <c r="D34" s="11">
        <v>283191</v>
      </c>
      <c r="E34" s="11">
        <v>429540</v>
      </c>
      <c r="F34" s="11">
        <v>619780</v>
      </c>
      <c r="G34" s="13">
        <f>B34/$B$43*100</f>
        <v>0.156518037208427</v>
      </c>
      <c r="H34" s="13">
        <f>C34/$C$43*100</f>
        <v>0.206443211687543</v>
      </c>
      <c r="I34" s="13">
        <f>D34/$D$43*100</f>
        <v>0.0542170738904831</v>
      </c>
      <c r="J34" s="13">
        <f>E34/$E$43*100</f>
        <v>0.0576647225946654</v>
      </c>
      <c r="K34" s="13">
        <f>F34/$F$43*100</f>
        <v>0.0726619103249537</v>
      </c>
      <c r="L34" s="13">
        <f>(C34-B34)/B34*100</f>
        <v>49.5407417964157</v>
      </c>
      <c r="M34" s="13">
        <f>(D34-C34)/C34*100</f>
        <v>-73.0111789876964</v>
      </c>
      <c r="N34" s="13">
        <f>(E34-D34)/D34*100</f>
        <v>51.6785491064335</v>
      </c>
      <c r="O34" s="13">
        <f>(F34-E34)/E34*100</f>
        <v>44.2892396517205</v>
      </c>
    </row>
    <row r="35" spans="1:15">
      <c r="A35" t="s">
        <v>42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>
      <c r="A36" s="10" t="s">
        <v>38</v>
      </c>
      <c r="B36" s="11">
        <v>24840159</v>
      </c>
      <c r="C36" s="11">
        <v>3670665</v>
      </c>
      <c r="D36" s="11">
        <v>187279</v>
      </c>
      <c r="E36" s="11">
        <v>29406</v>
      </c>
      <c r="F36" s="11">
        <v>316967</v>
      </c>
      <c r="G36" s="13">
        <f t="shared" ref="G36:G43" si="24">B36/$B$43*100</f>
        <v>5.54093124398794</v>
      </c>
      <c r="H36" s="13">
        <f t="shared" ref="H36:H43" si="25">C36/$C$43*100</f>
        <v>0.722187261509263</v>
      </c>
      <c r="I36" s="13">
        <f t="shared" ref="I36:I43" si="26">D36/$D$43*100</f>
        <v>0.0358546683373969</v>
      </c>
      <c r="J36" s="13">
        <f t="shared" ref="J36:J43" si="27">E36/$E$43*100</f>
        <v>0.00394768550686486</v>
      </c>
      <c r="K36" s="13">
        <f t="shared" ref="K36:K43" si="28">F36/$F$43*100</f>
        <v>0.0371606501177347</v>
      </c>
      <c r="L36" s="13">
        <f>(C36-B36)/B36*100</f>
        <v>-85.2228602884547</v>
      </c>
      <c r="M36" s="13">
        <f t="shared" ref="M36:M41" si="29">(D36-C36)/C36*100</f>
        <v>-94.8979544578435</v>
      </c>
      <c r="N36" s="13">
        <f>(E36-D36)/D36*100</f>
        <v>-84.2982929212565</v>
      </c>
      <c r="O36" s="13">
        <f>(F36-E36)/E36*100</f>
        <v>977.899068217371</v>
      </c>
    </row>
    <row r="37" spans="1:15">
      <c r="A37" s="10" t="s">
        <v>43</v>
      </c>
      <c r="B37" s="11">
        <v>63195657</v>
      </c>
      <c r="C37" s="11">
        <v>73373051</v>
      </c>
      <c r="D37" s="11">
        <v>79546636</v>
      </c>
      <c r="E37" s="11">
        <v>90259057</v>
      </c>
      <c r="F37" s="11">
        <v>100151054</v>
      </c>
      <c r="G37" s="13">
        <f t="shared" si="24"/>
        <v>14.0966404585271</v>
      </c>
      <c r="H37" s="13">
        <f t="shared" si="25"/>
        <v>14.4358264157229</v>
      </c>
      <c r="I37" s="13">
        <f t="shared" si="26"/>
        <v>15.2292475458308</v>
      </c>
      <c r="J37" s="13">
        <f t="shared" si="27"/>
        <v>12.1170635646531</v>
      </c>
      <c r="K37" s="13">
        <f t="shared" si="28"/>
        <v>11.7415323254987</v>
      </c>
      <c r="L37" s="13">
        <f>(C37-B37)/B37*100</f>
        <v>16.1045781991</v>
      </c>
      <c r="M37" s="13">
        <f t="shared" si="29"/>
        <v>8.41396795670934</v>
      </c>
      <c r="N37" s="13">
        <f>(E37-D37)/D37*100</f>
        <v>13.4668435256018</v>
      </c>
      <c r="O37" s="13">
        <f>(F37-E37)/E37*100</f>
        <v>10.9595616537407</v>
      </c>
    </row>
    <row r="38" spans="1:15">
      <c r="A38" s="10" t="s">
        <v>44</v>
      </c>
      <c r="B38" s="11">
        <v>24724868</v>
      </c>
      <c r="C38" s="11">
        <v>37082323</v>
      </c>
      <c r="D38" s="11">
        <v>38350318</v>
      </c>
      <c r="E38" s="11">
        <v>47155403</v>
      </c>
      <c r="F38" s="11">
        <v>50087407</v>
      </c>
      <c r="G38" s="13">
        <f t="shared" si="24"/>
        <v>5.51521403726432</v>
      </c>
      <c r="H38" s="13">
        <f t="shared" si="25"/>
        <v>7.29578463242273</v>
      </c>
      <c r="I38" s="13">
        <f t="shared" si="26"/>
        <v>7.34218963430873</v>
      </c>
      <c r="J38" s="13">
        <f t="shared" si="27"/>
        <v>6.33050061189797</v>
      </c>
      <c r="K38" s="13">
        <f t="shared" si="28"/>
        <v>5.87215895292436</v>
      </c>
      <c r="L38" s="13">
        <f>(C38-B38)/B38*100</f>
        <v>49.9798623798517</v>
      </c>
      <c r="M38" s="13">
        <f t="shared" si="29"/>
        <v>3.41940552106188</v>
      </c>
      <c r="N38" s="13">
        <f>(E38-D38)/D38*100</f>
        <v>22.9596140506579</v>
      </c>
      <c r="O38" s="13">
        <f>(F38-E38)/E38*100</f>
        <v>6.21774773083797</v>
      </c>
    </row>
    <row r="39" ht="28.8" customHeight="1" spans="1:15">
      <c r="A39" s="10" t="s">
        <v>40</v>
      </c>
      <c r="B39" s="11">
        <v>17578578</v>
      </c>
      <c r="C39" s="11">
        <v>33165065</v>
      </c>
      <c r="D39" s="11">
        <v>47806075</v>
      </c>
      <c r="E39" s="11">
        <v>13269005</v>
      </c>
      <c r="F39" s="11">
        <v>69165098</v>
      </c>
      <c r="G39" s="13">
        <f t="shared" si="24"/>
        <v>3.92113802754157</v>
      </c>
      <c r="H39" s="13">
        <f t="shared" si="25"/>
        <v>6.52508127822253</v>
      </c>
      <c r="I39" s="13">
        <f t="shared" si="26"/>
        <v>9.15249955220673</v>
      </c>
      <c r="J39" s="13">
        <f t="shared" si="27"/>
        <v>1.78133233792482</v>
      </c>
      <c r="K39" s="13">
        <f t="shared" si="28"/>
        <v>8.10879368242382</v>
      </c>
      <c r="L39" s="13">
        <f>(C39-B39)/B39*100</f>
        <v>88.6675076903263</v>
      </c>
      <c r="M39" s="13">
        <f t="shared" si="29"/>
        <v>44.1458806126266</v>
      </c>
      <c r="N39" s="13">
        <f>(E39-D39)/D39*100</f>
        <v>-72.2441028676795</v>
      </c>
      <c r="O39" s="13">
        <f>(F39-E39)/E39*100</f>
        <v>421.253085668443</v>
      </c>
    </row>
    <row r="40" ht="28.8" customHeight="1" spans="1:15">
      <c r="A40" s="10" t="s">
        <v>45</v>
      </c>
      <c r="B40" s="11">
        <v>27198650</v>
      </c>
      <c r="C40" s="11">
        <v>37662023</v>
      </c>
      <c r="D40" s="11">
        <v>41365415</v>
      </c>
      <c r="E40" s="11">
        <v>64878916</v>
      </c>
      <c r="F40" s="11">
        <v>62387963</v>
      </c>
      <c r="G40" s="13">
        <f t="shared" si="24"/>
        <v>6.06702435275445</v>
      </c>
      <c r="H40" s="13">
        <f t="shared" si="25"/>
        <v>7.40983806837968</v>
      </c>
      <c r="I40" s="13">
        <f t="shared" si="26"/>
        <v>7.91943162588322</v>
      </c>
      <c r="J40" s="13">
        <f t="shared" si="27"/>
        <v>8.70984004605531</v>
      </c>
      <c r="K40" s="13">
        <f t="shared" si="28"/>
        <v>7.31425436907052</v>
      </c>
      <c r="L40" s="13">
        <f>(C40-B40)/B40*100</f>
        <v>38.4701924544049</v>
      </c>
      <c r="M40" s="13">
        <f t="shared" si="29"/>
        <v>9.83322643077351</v>
      </c>
      <c r="N40" s="13">
        <f>(E40-D40)/D40*100</f>
        <v>56.8433823279665</v>
      </c>
      <c r="O40" s="13">
        <f>(F40-E40)/E40*100</f>
        <v>-3.83938751381111</v>
      </c>
    </row>
    <row r="41" spans="1:15">
      <c r="A41" s="10" t="s">
        <v>46</v>
      </c>
      <c r="B41" s="11">
        <v>0</v>
      </c>
      <c r="C41" s="11">
        <v>110573</v>
      </c>
      <c r="D41" s="11">
        <v>0</v>
      </c>
      <c r="E41" s="11">
        <v>0</v>
      </c>
      <c r="F41" s="11">
        <v>0</v>
      </c>
      <c r="G41" s="13">
        <f t="shared" si="24"/>
        <v>0</v>
      </c>
      <c r="H41" s="13">
        <f t="shared" si="25"/>
        <v>0.0217547534484525</v>
      </c>
      <c r="I41" s="13">
        <f t="shared" si="26"/>
        <v>0</v>
      </c>
      <c r="J41" s="13">
        <f t="shared" si="27"/>
        <v>0</v>
      </c>
      <c r="K41" s="13">
        <f t="shared" si="28"/>
        <v>0</v>
      </c>
      <c r="L41" s="13">
        <v>0</v>
      </c>
      <c r="M41" s="13">
        <f t="shared" si="29"/>
        <v>-100</v>
      </c>
      <c r="N41" s="13">
        <v>0</v>
      </c>
      <c r="O41" s="13">
        <v>0</v>
      </c>
    </row>
    <row r="42" spans="1:15">
      <c r="A42" s="10" t="s">
        <v>47</v>
      </c>
      <c r="B42" s="11">
        <v>0</v>
      </c>
      <c r="C42" s="11">
        <v>0</v>
      </c>
      <c r="D42" s="11">
        <v>0</v>
      </c>
      <c r="E42" s="11">
        <v>0</v>
      </c>
      <c r="F42" s="11">
        <v>6299915</v>
      </c>
      <c r="G42" s="13">
        <f t="shared" si="24"/>
        <v>0</v>
      </c>
      <c r="H42" s="13">
        <f t="shared" si="25"/>
        <v>0</v>
      </c>
      <c r="I42" s="13">
        <f t="shared" si="26"/>
        <v>0</v>
      </c>
      <c r="J42" s="13">
        <f t="shared" si="27"/>
        <v>0</v>
      </c>
      <c r="K42" s="13">
        <f t="shared" si="28"/>
        <v>0.738590885128321</v>
      </c>
      <c r="L42" s="13">
        <v>0</v>
      </c>
      <c r="M42" s="13">
        <v>0</v>
      </c>
      <c r="N42" s="13">
        <v>0</v>
      </c>
      <c r="O42" s="13">
        <v>0</v>
      </c>
    </row>
    <row r="43" spans="1:15">
      <c r="A43" s="10" t="s">
        <v>48</v>
      </c>
      <c r="B43" s="11">
        <v>448302964</v>
      </c>
      <c r="C43" s="11">
        <v>508270527</v>
      </c>
      <c r="D43" s="11">
        <v>522328078</v>
      </c>
      <c r="E43" s="11">
        <v>744892164</v>
      </c>
      <c r="F43" s="11">
        <v>852964087</v>
      </c>
      <c r="G43" s="13">
        <f t="shared" si="24"/>
        <v>100</v>
      </c>
      <c r="H43" s="13">
        <f t="shared" si="25"/>
        <v>100</v>
      </c>
      <c r="I43" s="13">
        <f t="shared" si="26"/>
        <v>100</v>
      </c>
      <c r="J43" s="13">
        <f t="shared" si="27"/>
        <v>100</v>
      </c>
      <c r="K43" s="13">
        <f t="shared" si="28"/>
        <v>100</v>
      </c>
      <c r="L43" s="13">
        <f>(C43-B43)/B43*100</f>
        <v>13.3765707156913</v>
      </c>
      <c r="M43" s="13">
        <f>(D43-C43)/C43*100</f>
        <v>2.76576158821816</v>
      </c>
      <c r="N43" s="13">
        <f>(E43-D43)/D43*100</f>
        <v>42.6100176065971</v>
      </c>
      <c r="O43" s="13">
        <f>(F43-E43)/E43*100</f>
        <v>14.5083984263795</v>
      </c>
    </row>
    <row r="44" ht="28.8" customHeight="1" spans="1:15">
      <c r="A44" s="10" t="s">
        <v>49</v>
      </c>
      <c r="B44" s="11">
        <v>475926936</v>
      </c>
      <c r="C44" s="11">
        <v>578717319</v>
      </c>
      <c r="D44" s="11">
        <v>619312543</v>
      </c>
      <c r="E44" s="11">
        <v>952063811</v>
      </c>
      <c r="F44" s="11">
        <v>1039663393</v>
      </c>
      <c r="G44" s="13">
        <f>B44/$B$44*100</f>
        <v>100</v>
      </c>
      <c r="H44" s="13">
        <f>C44/$C$44*100</f>
        <v>100</v>
      </c>
      <c r="I44" s="13">
        <f>D44/$D$44*100</f>
        <v>100</v>
      </c>
      <c r="J44" s="13">
        <f>E44/$E$44*100</f>
        <v>100</v>
      </c>
      <c r="K44" s="13">
        <f>F44/$F$44*100</f>
        <v>100</v>
      </c>
      <c r="L44" s="13">
        <f>(C44-B44)/B44*100</f>
        <v>21.5979334693508</v>
      </c>
      <c r="M44" s="13">
        <f>(D44-C44)/C44*100</f>
        <v>7.0146896709687</v>
      </c>
      <c r="N44" s="13">
        <f>(E44-D44)/D44*100</f>
        <v>53.7291343056167</v>
      </c>
      <c r="O44" s="13">
        <f>(F44-E44)/E44*100</f>
        <v>9.20102003541021</v>
      </c>
    </row>
    <row r="45" spans="1:1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zoomScale="63" zoomScaleNormal="63" workbookViewId="0">
      <pane xSplit="1" ySplit="1" topLeftCell="B2" activePane="bottomRight" state="frozen"/>
      <selection/>
      <selection pane="topRight"/>
      <selection pane="bottomLeft"/>
      <selection pane="bottomRight" activeCell="O6" sqref="O6"/>
    </sheetView>
  </sheetViews>
  <sheetFormatPr defaultColWidth="9" defaultRowHeight="14.4"/>
  <cols>
    <col min="1" max="1" width="36.712962962963" customWidth="1"/>
    <col min="2" max="6" width="15.712962962963" customWidth="1"/>
    <col min="7" max="11" width="18.712962962963" customWidth="1"/>
    <col min="12" max="15" width="22.712962962963" customWidth="1"/>
  </cols>
  <sheetData>
    <row r="1" ht="28.8" customHeight="1" spans="1:15">
      <c r="A1" s="8" t="s">
        <v>50</v>
      </c>
      <c r="B1" s="8">
        <v>2021</v>
      </c>
      <c r="C1" s="8">
        <v>2022</v>
      </c>
      <c r="D1" s="8">
        <v>2023</v>
      </c>
      <c r="E1" s="8">
        <v>2024</v>
      </c>
      <c r="F1" s="8">
        <v>2025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6</v>
      </c>
      <c r="M1" s="8" t="s">
        <v>7</v>
      </c>
      <c r="N1" s="8" t="s">
        <v>8</v>
      </c>
      <c r="O1" s="8" t="s">
        <v>9</v>
      </c>
    </row>
    <row r="2" spans="1:15">
      <c r="A2" t="s">
        <v>51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>
      <c r="A3" s="10" t="s">
        <v>52</v>
      </c>
      <c r="B3" s="11">
        <v>305252639</v>
      </c>
      <c r="C3" s="11">
        <v>462171919</v>
      </c>
      <c r="D3" s="11">
        <v>521074736</v>
      </c>
      <c r="E3" s="11">
        <v>585810042</v>
      </c>
      <c r="F3" s="11">
        <v>721046502</v>
      </c>
      <c r="G3" s="13">
        <f>B3/$B$7*100</f>
        <v>93.9508531069982</v>
      </c>
      <c r="H3" s="13">
        <f>C3/$C$7*100</f>
        <v>96.6923639342281</v>
      </c>
      <c r="I3" s="13">
        <f>D3/$D$7*100</f>
        <v>97.3662987245488</v>
      </c>
      <c r="J3" s="13">
        <f>E3/$E$7*100</f>
        <v>95.0755674939078</v>
      </c>
      <c r="K3" s="13">
        <f>F3/$F$7*100</f>
        <v>95.0037031464988</v>
      </c>
      <c r="L3" s="13">
        <f>(C3-B3)/B3*100</f>
        <v>51.4063631076421</v>
      </c>
      <c r="M3" s="13">
        <f>(D3-C3)/C3*100</f>
        <v>12.7447849119539</v>
      </c>
      <c r="N3" s="13">
        <f>(E3-D3)/D3*100</f>
        <v>12.4234205820334</v>
      </c>
      <c r="O3" s="13">
        <f>(F3-E3)/E3*100</f>
        <v>23.0853775633979</v>
      </c>
    </row>
    <row r="4" spans="1:15">
      <c r="A4" s="10" t="s">
        <v>53</v>
      </c>
      <c r="B4" s="11">
        <v>14304293</v>
      </c>
      <c r="C4" s="11">
        <v>10209425</v>
      </c>
      <c r="D4" s="11">
        <v>10284481</v>
      </c>
      <c r="E4" s="11">
        <v>12413214</v>
      </c>
      <c r="F4" s="11">
        <v>14272406</v>
      </c>
      <c r="G4" s="13">
        <f>B4/$B$7*100</f>
        <v>4.40258447836863</v>
      </c>
      <c r="H4" s="13">
        <f>C4/$C$7*100</f>
        <v>2.13594421702459</v>
      </c>
      <c r="I4" s="13">
        <f>D4/$D$7*100</f>
        <v>1.92172404473079</v>
      </c>
      <c r="J4" s="13">
        <f>E4/$E$7*100</f>
        <v>2.01463491722342</v>
      </c>
      <c r="K4" s="13">
        <f>F4/$F$7*100</f>
        <v>1.88050482049257</v>
      </c>
      <c r="L4" s="13">
        <f>(C4-B4)/B4*100</f>
        <v>-28.6268464998585</v>
      </c>
      <c r="M4" s="13">
        <f>(D4-C4)/C4*100</f>
        <v>0.735163831459656</v>
      </c>
      <c r="N4" s="13">
        <f>(E4-D4)/D4*100</f>
        <v>20.6984970850741</v>
      </c>
      <c r="O4" s="13">
        <f>(F4-E4)/E4*100</f>
        <v>14.9775231458992</v>
      </c>
    </row>
    <row r="5" spans="1:15">
      <c r="A5" s="10" t="s">
        <v>54</v>
      </c>
      <c r="B5" s="11">
        <v>3360585</v>
      </c>
      <c r="C5" s="11">
        <v>5600474</v>
      </c>
      <c r="D5" s="11">
        <v>3810285</v>
      </c>
      <c r="E5" s="11">
        <v>5427382</v>
      </c>
      <c r="F5" s="11">
        <v>4391707</v>
      </c>
      <c r="G5" s="13">
        <f>B5/$B$7*100</f>
        <v>1.03432300773191</v>
      </c>
      <c r="H5" s="13">
        <f>C5/$C$7*100</f>
        <v>1.17169184874727</v>
      </c>
      <c r="I5" s="13">
        <f>D5/$D$7*100</f>
        <v>0.711977230720446</v>
      </c>
      <c r="J5" s="13">
        <f>E5/$E$7*100</f>
        <v>0.880851106434635</v>
      </c>
      <c r="K5" s="13">
        <f>F5/$F$7*100</f>
        <v>0.578642884997174</v>
      </c>
      <c r="L5" s="13">
        <f>(C5-B5)/B5*100</f>
        <v>66.6517585479909</v>
      </c>
      <c r="M5" s="13">
        <f>(D5-C5)/C5*100</f>
        <v>-31.9649551091568</v>
      </c>
      <c r="N5" s="13">
        <f>(E5-D5)/D5*100</f>
        <v>42.4403161443304</v>
      </c>
      <c r="O5" s="13">
        <f>(F5-E5)/E5*100</f>
        <v>-19.0824047395227</v>
      </c>
    </row>
    <row r="6" ht="28.8" customHeight="1" spans="1:15">
      <c r="A6" s="10" t="s">
        <v>55</v>
      </c>
      <c r="B6" s="11">
        <v>1989207</v>
      </c>
      <c r="C6" s="11">
        <v>0</v>
      </c>
      <c r="D6" s="11">
        <v>0</v>
      </c>
      <c r="E6" s="11">
        <v>12501395</v>
      </c>
      <c r="F6" s="11">
        <v>19256118</v>
      </c>
      <c r="G6" s="13">
        <f>B6/$B$7*100</f>
        <v>0.612239406901287</v>
      </c>
      <c r="H6" s="13">
        <f>C6/$C$7*100</f>
        <v>0</v>
      </c>
      <c r="I6" s="13">
        <f>D6/$D$7*100</f>
        <v>0</v>
      </c>
      <c r="J6" s="13">
        <f>E6/$E$7*100</f>
        <v>2.02894648243415</v>
      </c>
      <c r="K6" s="13">
        <f>F6/$F$7*100</f>
        <v>2.53714914801147</v>
      </c>
      <c r="L6" s="13">
        <f>(C6-B6)/B6*100</f>
        <v>-100</v>
      </c>
      <c r="M6" s="13">
        <v>0</v>
      </c>
      <c r="N6" s="13">
        <v>0</v>
      </c>
      <c r="O6" s="13">
        <f>(F6-E6)/E6*100</f>
        <v>54.0317540562473</v>
      </c>
    </row>
    <row r="7" spans="1:15">
      <c r="A7" s="10" t="s">
        <v>56</v>
      </c>
      <c r="B7" s="11">
        <v>324906724</v>
      </c>
      <c r="C7" s="11">
        <v>477981818</v>
      </c>
      <c r="D7" s="11">
        <v>535169502</v>
      </c>
      <c r="E7" s="11">
        <v>616152033</v>
      </c>
      <c r="F7" s="11">
        <v>758966733</v>
      </c>
      <c r="G7" s="13">
        <f>B7/$B$7*100</f>
        <v>100</v>
      </c>
      <c r="H7" s="13">
        <f>C7/$C$7*100</f>
        <v>100</v>
      </c>
      <c r="I7" s="13">
        <f>D7/$D$7*100</f>
        <v>100</v>
      </c>
      <c r="J7" s="13">
        <f>E7/$E$7*100</f>
        <v>100</v>
      </c>
      <c r="K7" s="13">
        <f>F7/$F$7*100</f>
        <v>100</v>
      </c>
      <c r="L7" s="13">
        <f>(C7-B7)/B7*100</f>
        <v>47.1135506570803</v>
      </c>
      <c r="M7" s="13">
        <f>(D7-C7)/C7*100</f>
        <v>11.9644057255751</v>
      </c>
      <c r="N7" s="13">
        <f>(E7-D7)/D7*100</f>
        <v>15.1321274282928</v>
      </c>
      <c r="O7" s="13">
        <f>(F7-E7)/E7*100</f>
        <v>23.1784839375836</v>
      </c>
    </row>
    <row r="8" spans="1:15">
      <c r="A8" t="s">
        <v>57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>
      <c r="A9" s="10" t="s">
        <v>58</v>
      </c>
      <c r="B9" s="11">
        <v>-58279112</v>
      </c>
      <c r="C9" s="11">
        <v>-106940565</v>
      </c>
      <c r="D9" s="11">
        <v>-127357770</v>
      </c>
      <c r="E9" s="11">
        <v>-143373122</v>
      </c>
      <c r="F9" s="11">
        <v>-173137790</v>
      </c>
      <c r="G9" s="13">
        <f t="shared" ref="G9:G32" si="0">B9/$B$7*100</f>
        <v>-17.9371824881039</v>
      </c>
      <c r="H9" s="13">
        <f t="shared" ref="H9:H32" si="1">C9/$C$7*100</f>
        <v>-22.3733541680449</v>
      </c>
      <c r="I9" s="13">
        <f t="shared" ref="I9:I32" si="2">D9/$D$7*100</f>
        <v>-23.7976509356469</v>
      </c>
      <c r="J9" s="13">
        <f t="shared" ref="J9:J32" si="3">E9/$E$7*100</f>
        <v>-23.2691144914229</v>
      </c>
      <c r="K9" s="13">
        <f t="shared" ref="K9:K32" si="4">F9/$F$7*100</f>
        <v>-22.8123028944406</v>
      </c>
      <c r="L9" s="13">
        <f t="shared" ref="L9:L32" si="5">(C9-B9)/B9*100</f>
        <v>83.4972451193148</v>
      </c>
      <c r="M9" s="13">
        <f t="shared" ref="M9:M32" si="6">(D9-C9)/C9*100</f>
        <v>19.0921050398415</v>
      </c>
      <c r="N9" s="13">
        <f t="shared" ref="N9:N32" si="7">(E9-D9)/D9*100</f>
        <v>12.5750882729809</v>
      </c>
      <c r="O9" s="13">
        <f t="shared" ref="O9:O21" si="8">(F9-E9)/E9*100</f>
        <v>20.7602844834473</v>
      </c>
    </row>
    <row r="10" spans="1:15">
      <c r="A10" s="10" t="s">
        <v>59</v>
      </c>
      <c r="B10" s="11">
        <v>-49590527</v>
      </c>
      <c r="C10" s="11">
        <v>-68827926</v>
      </c>
      <c r="D10" s="11">
        <v>-88102136</v>
      </c>
      <c r="E10" s="11">
        <v>-106675293</v>
      </c>
      <c r="F10" s="11">
        <v>-136144112</v>
      </c>
      <c r="G10" s="13">
        <f t="shared" si="0"/>
        <v>-15.2630042214823</v>
      </c>
      <c r="H10" s="13">
        <f t="shared" si="1"/>
        <v>-14.399695429419</v>
      </c>
      <c r="I10" s="13">
        <f t="shared" si="2"/>
        <v>-16.4624732296498</v>
      </c>
      <c r="J10" s="13">
        <f t="shared" si="3"/>
        <v>-17.3131446926509</v>
      </c>
      <c r="K10" s="13">
        <f t="shared" si="4"/>
        <v>-17.9380868858187</v>
      </c>
      <c r="L10" s="13">
        <f t="shared" si="5"/>
        <v>38.7924875248856</v>
      </c>
      <c r="M10" s="13">
        <f t="shared" si="6"/>
        <v>28.0034734738339</v>
      </c>
      <c r="N10" s="13">
        <f t="shared" si="7"/>
        <v>21.0813923966611</v>
      </c>
      <c r="O10" s="13">
        <f t="shared" si="8"/>
        <v>27.6247837444421</v>
      </c>
    </row>
    <row r="11" spans="1:15">
      <c r="A11" s="10" t="s">
        <v>60</v>
      </c>
      <c r="B11" s="11">
        <v>-51484170</v>
      </c>
      <c r="C11" s="11">
        <v>-62243853</v>
      </c>
      <c r="D11" s="11">
        <v>-73944311</v>
      </c>
      <c r="E11" s="11">
        <v>-88717693</v>
      </c>
      <c r="F11" s="11">
        <v>-119792081</v>
      </c>
      <c r="G11" s="13">
        <f t="shared" si="0"/>
        <v>-15.8458308791418</v>
      </c>
      <c r="H11" s="13">
        <f t="shared" si="1"/>
        <v>-13.0222219038466</v>
      </c>
      <c r="I11" s="13">
        <f t="shared" si="2"/>
        <v>-13.816988958388</v>
      </c>
      <c r="J11" s="13">
        <f t="shared" si="3"/>
        <v>-14.3986691998791</v>
      </c>
      <c r="K11" s="13">
        <f t="shared" si="4"/>
        <v>-15.7835746669018</v>
      </c>
      <c r="L11" s="13">
        <f t="shared" si="5"/>
        <v>20.8990122594965</v>
      </c>
      <c r="M11" s="13">
        <f t="shared" si="6"/>
        <v>18.7977726892967</v>
      </c>
      <c r="N11" s="13">
        <f t="shared" si="7"/>
        <v>19.9790650561339</v>
      </c>
      <c r="O11" s="13">
        <f t="shared" si="8"/>
        <v>35.0261452357649</v>
      </c>
    </row>
    <row r="12" spans="1:15">
      <c r="A12" s="10" t="s">
        <v>61</v>
      </c>
      <c r="B12" s="11">
        <v>-40324060</v>
      </c>
      <c r="C12" s="11">
        <v>-58228907</v>
      </c>
      <c r="D12" s="11">
        <v>-49388554</v>
      </c>
      <c r="E12" s="11">
        <v>-55443453</v>
      </c>
      <c r="F12" s="11">
        <v>-76101528</v>
      </c>
      <c r="G12" s="13">
        <f t="shared" si="0"/>
        <v>-12.4109650620835</v>
      </c>
      <c r="H12" s="13">
        <f t="shared" si="1"/>
        <v>-12.182243091096</v>
      </c>
      <c r="I12" s="13">
        <f t="shared" si="2"/>
        <v>-9.22858156442554</v>
      </c>
      <c r="J12" s="13">
        <f t="shared" si="3"/>
        <v>-8.99833970035769</v>
      </c>
      <c r="K12" s="13">
        <f t="shared" si="4"/>
        <v>-10.0269912620795</v>
      </c>
      <c r="L12" s="13">
        <f t="shared" si="5"/>
        <v>44.4023915250597</v>
      </c>
      <c r="M12" s="13">
        <f t="shared" si="6"/>
        <v>-15.1820692770345</v>
      </c>
      <c r="N12" s="13">
        <f t="shared" si="7"/>
        <v>12.2597211491553</v>
      </c>
      <c r="O12" s="13">
        <f t="shared" si="8"/>
        <v>37.2597193757034</v>
      </c>
    </row>
    <row r="13" ht="28.8" customHeight="1" spans="1:15">
      <c r="A13" s="10" t="s">
        <v>62</v>
      </c>
      <c r="B13" s="11">
        <v>-29879880</v>
      </c>
      <c r="C13" s="11">
        <v>-39205987</v>
      </c>
      <c r="D13" s="11">
        <v>-48241120</v>
      </c>
      <c r="E13" s="11">
        <v>-56732135</v>
      </c>
      <c r="F13" s="11">
        <v>-73605152</v>
      </c>
      <c r="G13" s="13">
        <f t="shared" si="0"/>
        <v>-9.19644863982563</v>
      </c>
      <c r="H13" s="13">
        <f t="shared" si="1"/>
        <v>-8.20240133067154</v>
      </c>
      <c r="I13" s="13">
        <f t="shared" si="2"/>
        <v>-9.01417584890703</v>
      </c>
      <c r="J13" s="13">
        <f t="shared" si="3"/>
        <v>-9.20748970408737</v>
      </c>
      <c r="K13" s="13">
        <f t="shared" si="4"/>
        <v>-9.69807355179558</v>
      </c>
      <c r="L13" s="13">
        <f t="shared" si="5"/>
        <v>31.2119961659819</v>
      </c>
      <c r="M13" s="13">
        <f t="shared" si="6"/>
        <v>23.0452889758903</v>
      </c>
      <c r="N13" s="13">
        <f t="shared" si="7"/>
        <v>17.6011978992196</v>
      </c>
      <c r="O13" s="13">
        <f t="shared" si="8"/>
        <v>29.7415512389936</v>
      </c>
    </row>
    <row r="14" spans="1:15">
      <c r="A14" s="10" t="s">
        <v>63</v>
      </c>
      <c r="B14" s="11">
        <v>-25961531</v>
      </c>
      <c r="C14" s="11">
        <v>-37131951</v>
      </c>
      <c r="D14" s="11">
        <v>-46124472</v>
      </c>
      <c r="E14" s="11">
        <v>-55787727</v>
      </c>
      <c r="F14" s="11">
        <v>-73426414</v>
      </c>
      <c r="G14" s="13">
        <f t="shared" si="0"/>
        <v>-7.99045667026577</v>
      </c>
      <c r="H14" s="13">
        <f t="shared" si="1"/>
        <v>-7.76848608078226</v>
      </c>
      <c r="I14" s="13">
        <f t="shared" si="2"/>
        <v>-8.61866601658478</v>
      </c>
      <c r="J14" s="13">
        <f t="shared" si="3"/>
        <v>-9.05421454642835</v>
      </c>
      <c r="K14" s="13">
        <f t="shared" si="4"/>
        <v>-9.67452337598043</v>
      </c>
      <c r="L14" s="13">
        <f t="shared" si="5"/>
        <v>43.0268153291884</v>
      </c>
      <c r="M14" s="13">
        <f t="shared" si="6"/>
        <v>24.2177444433232</v>
      </c>
      <c r="N14" s="13">
        <f t="shared" si="7"/>
        <v>20.9503861637701</v>
      </c>
      <c r="O14" s="13">
        <f t="shared" si="8"/>
        <v>31.6175043302983</v>
      </c>
    </row>
    <row r="15" spans="1:15">
      <c r="A15" s="10" t="s">
        <v>64</v>
      </c>
      <c r="B15" s="11">
        <v>-10686310</v>
      </c>
      <c r="C15" s="11">
        <v>-15334093</v>
      </c>
      <c r="D15" s="11">
        <v>-18444763</v>
      </c>
      <c r="E15" s="11">
        <v>-20777116</v>
      </c>
      <c r="F15" s="11">
        <v>-26630517</v>
      </c>
      <c r="G15" s="13">
        <f t="shared" si="0"/>
        <v>-3.28903934902868</v>
      </c>
      <c r="H15" s="13">
        <f t="shared" si="1"/>
        <v>-3.20809127513716</v>
      </c>
      <c r="I15" s="13">
        <f t="shared" si="2"/>
        <v>-3.44652730229758</v>
      </c>
      <c r="J15" s="13">
        <f t="shared" si="3"/>
        <v>-3.37207619016328</v>
      </c>
      <c r="K15" s="13">
        <f t="shared" si="4"/>
        <v>-3.50878580603084</v>
      </c>
      <c r="L15" s="13">
        <f t="shared" si="5"/>
        <v>43.4928707851447</v>
      </c>
      <c r="M15" s="13">
        <f t="shared" si="6"/>
        <v>20.2859732231962</v>
      </c>
      <c r="N15" s="13">
        <f t="shared" si="7"/>
        <v>12.6450689553452</v>
      </c>
      <c r="O15" s="13">
        <f t="shared" si="8"/>
        <v>28.1723459598531</v>
      </c>
    </row>
    <row r="16" spans="1:15">
      <c r="A16" s="10" t="s">
        <v>65</v>
      </c>
      <c r="B16" s="11">
        <v>-3428108</v>
      </c>
      <c r="C16" s="11">
        <v>-3880892</v>
      </c>
      <c r="D16" s="11">
        <v>-5011359</v>
      </c>
      <c r="E16" s="11">
        <v>-6013245</v>
      </c>
      <c r="F16" s="11">
        <v>-7057271</v>
      </c>
      <c r="G16" s="13">
        <f t="shared" si="0"/>
        <v>-1.0551052800003</v>
      </c>
      <c r="H16" s="13">
        <f t="shared" si="1"/>
        <v>-0.811932976078182</v>
      </c>
      <c r="I16" s="13">
        <f t="shared" si="2"/>
        <v>-0.9364059389169</v>
      </c>
      <c r="J16" s="13">
        <f t="shared" si="3"/>
        <v>-0.975935268885171</v>
      </c>
      <c r="K16" s="13">
        <f t="shared" si="4"/>
        <v>-0.929852481426218</v>
      </c>
      <c r="L16" s="13">
        <f t="shared" si="5"/>
        <v>13.2079852793436</v>
      </c>
      <c r="M16" s="13">
        <f t="shared" si="6"/>
        <v>29.1290507440042</v>
      </c>
      <c r="N16" s="13">
        <f t="shared" si="7"/>
        <v>19.9923014894762</v>
      </c>
      <c r="O16" s="13">
        <f t="shared" si="8"/>
        <v>17.3621064832715</v>
      </c>
    </row>
    <row r="17" spans="1:15">
      <c r="A17" s="10" t="s">
        <v>66</v>
      </c>
      <c r="B17" s="11">
        <v>-1951534</v>
      </c>
      <c r="C17" s="11">
        <v>-2646693</v>
      </c>
      <c r="D17" s="11">
        <v>-2980328</v>
      </c>
      <c r="E17" s="11">
        <v>-3224735</v>
      </c>
      <c r="F17" s="11">
        <v>-4203971</v>
      </c>
      <c r="G17" s="13">
        <f t="shared" si="0"/>
        <v>-0.600644386787144</v>
      </c>
      <c r="H17" s="13">
        <f t="shared" si="1"/>
        <v>-0.553722526742639</v>
      </c>
      <c r="I17" s="13">
        <f t="shared" si="2"/>
        <v>-0.55689421554519</v>
      </c>
      <c r="J17" s="13">
        <f t="shared" si="3"/>
        <v>-0.523366771070931</v>
      </c>
      <c r="K17" s="13">
        <f t="shared" si="4"/>
        <v>-0.55390714997254</v>
      </c>
      <c r="L17" s="13">
        <f t="shared" si="5"/>
        <v>35.6211575099383</v>
      </c>
      <c r="M17" s="13">
        <f t="shared" si="6"/>
        <v>12.6057310009132</v>
      </c>
      <c r="N17" s="13">
        <f t="shared" si="7"/>
        <v>8.20067455662598</v>
      </c>
      <c r="O17" s="13">
        <f t="shared" si="8"/>
        <v>30.3664022004909</v>
      </c>
    </row>
    <row r="18" ht="28.8" customHeight="1" spans="1:15">
      <c r="A18" s="10" t="s">
        <v>67</v>
      </c>
      <c r="B18" s="11">
        <v>-1448480</v>
      </c>
      <c r="C18" s="11">
        <v>-1976378</v>
      </c>
      <c r="D18" s="11">
        <v>-2631258</v>
      </c>
      <c r="E18" s="11">
        <v>-3874604</v>
      </c>
      <c r="F18" s="11">
        <v>-3088882</v>
      </c>
      <c r="G18" s="13">
        <f t="shared" si="0"/>
        <v>-0.445814103865699</v>
      </c>
      <c r="H18" s="13">
        <f t="shared" si="1"/>
        <v>-0.413483928796639</v>
      </c>
      <c r="I18" s="13">
        <f t="shared" si="2"/>
        <v>-0.491668151897041</v>
      </c>
      <c r="J18" s="13">
        <f t="shared" si="3"/>
        <v>-0.628838954102745</v>
      </c>
      <c r="K18" s="13">
        <f t="shared" si="4"/>
        <v>-0.406985163604002</v>
      </c>
      <c r="L18" s="13">
        <f t="shared" si="5"/>
        <v>36.444962995692</v>
      </c>
      <c r="M18" s="13">
        <f t="shared" si="6"/>
        <v>33.1353617577204</v>
      </c>
      <c r="N18" s="13">
        <f t="shared" si="7"/>
        <v>47.2529109650213</v>
      </c>
      <c r="O18" s="13">
        <f t="shared" si="8"/>
        <v>-20.2787691335682</v>
      </c>
    </row>
    <row r="19" spans="1:15">
      <c r="A19" s="10" t="s">
        <v>68</v>
      </c>
      <c r="B19" s="11">
        <v>-1066338</v>
      </c>
      <c r="C19" s="11">
        <v>-677929</v>
      </c>
      <c r="D19" s="11">
        <v>-1787829</v>
      </c>
      <c r="E19" s="11">
        <v>-2043010</v>
      </c>
      <c r="F19" s="11">
        <v>-2931190</v>
      </c>
      <c r="G19" s="13">
        <f t="shared" si="0"/>
        <v>-0.328198193891487</v>
      </c>
      <c r="H19" s="13">
        <f t="shared" si="1"/>
        <v>-0.141831545567283</v>
      </c>
      <c r="I19" s="13">
        <f t="shared" si="2"/>
        <v>-0.334067803437723</v>
      </c>
      <c r="J19" s="13">
        <f t="shared" si="3"/>
        <v>-0.331575632405647</v>
      </c>
      <c r="K19" s="13">
        <f t="shared" si="4"/>
        <v>-0.386207968353733</v>
      </c>
      <c r="L19" s="13">
        <f t="shared" si="5"/>
        <v>-36.4245670697284</v>
      </c>
      <c r="M19" s="13">
        <f t="shared" si="6"/>
        <v>163.719209533742</v>
      </c>
      <c r="N19" s="13">
        <f t="shared" si="7"/>
        <v>14.2732330664734</v>
      </c>
      <c r="O19" s="13">
        <f t="shared" si="8"/>
        <v>43.4740897009804</v>
      </c>
    </row>
    <row r="20" spans="1:15">
      <c r="A20" s="10" t="s">
        <v>69</v>
      </c>
      <c r="B20" s="11">
        <v>-1124388</v>
      </c>
      <c r="C20" s="11">
        <v>-1144309</v>
      </c>
      <c r="D20" s="11">
        <v>-1766071</v>
      </c>
      <c r="E20" s="11">
        <v>-2200684</v>
      </c>
      <c r="F20" s="11">
        <v>-2525083</v>
      </c>
      <c r="G20" s="13">
        <f t="shared" si="0"/>
        <v>-0.346064860141214</v>
      </c>
      <c r="H20" s="13">
        <f t="shared" si="1"/>
        <v>-0.23940429466294</v>
      </c>
      <c r="I20" s="13">
        <f t="shared" si="2"/>
        <v>-0.330002175647147</v>
      </c>
      <c r="J20" s="13">
        <f t="shared" si="3"/>
        <v>-0.357165745162769</v>
      </c>
      <c r="K20" s="13">
        <f t="shared" si="4"/>
        <v>-0.33270008950445</v>
      </c>
      <c r="L20" s="13">
        <f t="shared" si="5"/>
        <v>1.77171937089332</v>
      </c>
      <c r="M20" s="13">
        <f t="shared" si="6"/>
        <v>54.335148985108</v>
      </c>
      <c r="N20" s="13">
        <f t="shared" si="7"/>
        <v>24.6090332721618</v>
      </c>
      <c r="O20" s="13">
        <f t="shared" si="8"/>
        <v>14.7408260340876</v>
      </c>
    </row>
    <row r="21" ht="28.8" customHeight="1" spans="1:15">
      <c r="A21" s="10" t="s">
        <v>70</v>
      </c>
      <c r="B21" s="11">
        <v>-1561520</v>
      </c>
      <c r="C21" s="11">
        <v>-1780324</v>
      </c>
      <c r="D21" s="11">
        <v>-1000743</v>
      </c>
      <c r="E21" s="11">
        <v>-2384213</v>
      </c>
      <c r="F21" s="11">
        <v>-1162524</v>
      </c>
      <c r="G21" s="13">
        <f t="shared" si="0"/>
        <v>-0.4806056276016</v>
      </c>
      <c r="H21" s="13">
        <f t="shared" si="1"/>
        <v>-0.372466887432944</v>
      </c>
      <c r="I21" s="13">
        <f t="shared" si="2"/>
        <v>-0.186995521280658</v>
      </c>
      <c r="J21" s="13">
        <f t="shared" si="3"/>
        <v>-0.386952062527724</v>
      </c>
      <c r="K21" s="13">
        <f t="shared" si="4"/>
        <v>-0.153171930923091</v>
      </c>
      <c r="L21" s="13">
        <f t="shared" si="5"/>
        <v>14.0122444797377</v>
      </c>
      <c r="M21" s="13">
        <f t="shared" si="6"/>
        <v>-43.7887148631373</v>
      </c>
      <c r="N21" s="13">
        <f t="shared" si="7"/>
        <v>138.244284496619</v>
      </c>
      <c r="O21" s="13">
        <f t="shared" si="8"/>
        <v>-51.240765820839</v>
      </c>
    </row>
    <row r="22" ht="28.8" customHeight="1" spans="1:15">
      <c r="A22" s="10" t="s">
        <v>71</v>
      </c>
      <c r="B22" s="11">
        <v>-49254</v>
      </c>
      <c r="C22" s="11">
        <v>-185249</v>
      </c>
      <c r="D22" s="11">
        <v>-57402</v>
      </c>
      <c r="E22" s="11">
        <v>0</v>
      </c>
      <c r="F22" s="11">
        <v>0</v>
      </c>
      <c r="G22" s="13">
        <f t="shared" si="0"/>
        <v>-0.0151594277254785</v>
      </c>
      <c r="H22" s="13">
        <f t="shared" si="1"/>
        <v>-0.0387564951267665</v>
      </c>
      <c r="I22" s="13">
        <f t="shared" si="2"/>
        <v>-0.0107259475335349</v>
      </c>
      <c r="J22" s="13">
        <f t="shared" si="3"/>
        <v>0</v>
      </c>
      <c r="K22" s="13">
        <f t="shared" si="4"/>
        <v>0</v>
      </c>
      <c r="L22" s="13">
        <f t="shared" si="5"/>
        <v>276.109554553945</v>
      </c>
      <c r="M22" s="13">
        <f t="shared" si="6"/>
        <v>-69.0135979141588</v>
      </c>
      <c r="N22" s="13">
        <f t="shared" si="7"/>
        <v>-100</v>
      </c>
      <c r="O22" s="13">
        <v>0</v>
      </c>
    </row>
    <row r="23" spans="1:15">
      <c r="A23" s="10" t="s">
        <v>72</v>
      </c>
      <c r="B23" s="11">
        <v>-4456439</v>
      </c>
      <c r="C23" s="11">
        <v>-7666288</v>
      </c>
      <c r="D23" s="11">
        <v>-7045247</v>
      </c>
      <c r="E23" s="11">
        <v>-6582456</v>
      </c>
      <c r="F23" s="11">
        <v>-13311137</v>
      </c>
      <c r="G23" s="13">
        <f t="shared" si="0"/>
        <v>-1.37160565504332</v>
      </c>
      <c r="H23" s="13">
        <f t="shared" si="1"/>
        <v>-1.60388694952409</v>
      </c>
      <c r="I23" s="13">
        <f t="shared" si="2"/>
        <v>-1.31645151184269</v>
      </c>
      <c r="J23" s="13">
        <f t="shared" si="3"/>
        <v>-1.06831685159757</v>
      </c>
      <c r="K23" s="13">
        <f t="shared" si="4"/>
        <v>-1.75384986208612</v>
      </c>
      <c r="L23" s="13">
        <f t="shared" si="5"/>
        <v>72.0272172467748</v>
      </c>
      <c r="M23" s="13">
        <f t="shared" si="6"/>
        <v>-8.10093489834976</v>
      </c>
      <c r="N23" s="13">
        <f t="shared" si="7"/>
        <v>-6.56883995692415</v>
      </c>
      <c r="O23" s="13">
        <f t="shared" ref="O23:O32" si="9">(F23-E23)/E23*100</f>
        <v>102.221435281907</v>
      </c>
    </row>
    <row r="24" spans="1:15">
      <c r="A24" s="10" t="s">
        <v>73</v>
      </c>
      <c r="B24" s="11">
        <v>-281291651</v>
      </c>
      <c r="C24" s="11">
        <v>-407871344</v>
      </c>
      <c r="D24" s="11">
        <v>-473883363</v>
      </c>
      <c r="E24" s="11">
        <v>-553829486</v>
      </c>
      <c r="F24" s="11">
        <v>-713117652</v>
      </c>
      <c r="G24" s="13">
        <f t="shared" si="0"/>
        <v>-86.5761248449878</v>
      </c>
      <c r="H24" s="13">
        <f t="shared" si="1"/>
        <v>-85.331978882929</v>
      </c>
      <c r="I24" s="13">
        <f t="shared" si="2"/>
        <v>-88.5482751220005</v>
      </c>
      <c r="J24" s="13">
        <f t="shared" si="3"/>
        <v>-89.8851998107422</v>
      </c>
      <c r="K24" s="13">
        <f t="shared" si="4"/>
        <v>-93.9590130889176</v>
      </c>
      <c r="L24" s="13">
        <f t="shared" si="5"/>
        <v>44.9994489882673</v>
      </c>
      <c r="M24" s="13">
        <f t="shared" si="6"/>
        <v>16.1845199401898</v>
      </c>
      <c r="N24" s="13">
        <f t="shared" si="7"/>
        <v>16.870421973434</v>
      </c>
      <c r="O24" s="13">
        <f t="shared" si="9"/>
        <v>28.7612288667491</v>
      </c>
    </row>
    <row r="25" spans="1:15">
      <c r="A25" s="10" t="s">
        <v>74</v>
      </c>
      <c r="B25" s="11">
        <v>43615073</v>
      </c>
      <c r="C25" s="11">
        <v>70110474</v>
      </c>
      <c r="D25" s="11">
        <v>61286139</v>
      </c>
      <c r="E25" s="11">
        <v>62322547</v>
      </c>
      <c r="F25" s="11">
        <v>45849081</v>
      </c>
      <c r="G25" s="13">
        <f t="shared" si="0"/>
        <v>13.4238751550122</v>
      </c>
      <c r="H25" s="13">
        <f t="shared" si="1"/>
        <v>14.668021117071</v>
      </c>
      <c r="I25" s="13">
        <f t="shared" si="2"/>
        <v>11.4517248779995</v>
      </c>
      <c r="J25" s="13">
        <f t="shared" si="3"/>
        <v>10.1148001892578</v>
      </c>
      <c r="K25" s="13">
        <f t="shared" si="4"/>
        <v>6.04098691108244</v>
      </c>
      <c r="L25" s="13">
        <f t="shared" si="5"/>
        <v>60.7482670039323</v>
      </c>
      <c r="M25" s="13">
        <f t="shared" si="6"/>
        <v>-12.5863291125375</v>
      </c>
      <c r="N25" s="13">
        <f t="shared" si="7"/>
        <v>1.69109690528881</v>
      </c>
      <c r="O25" s="13">
        <f t="shared" si="9"/>
        <v>-26.432594290474</v>
      </c>
    </row>
    <row r="26" spans="1:15">
      <c r="A26" s="10" t="s">
        <v>75</v>
      </c>
      <c r="B26" s="11">
        <v>1026620</v>
      </c>
      <c r="C26" s="11">
        <v>3261294</v>
      </c>
      <c r="D26" s="11">
        <v>6757281</v>
      </c>
      <c r="E26" s="11">
        <v>10376957</v>
      </c>
      <c r="F26" s="11">
        <v>11633517</v>
      </c>
      <c r="G26" s="13">
        <f t="shared" si="0"/>
        <v>0.315973762365103</v>
      </c>
      <c r="H26" s="13">
        <f t="shared" si="1"/>
        <v>0.682305032782649</v>
      </c>
      <c r="I26" s="13">
        <f t="shared" si="2"/>
        <v>1.26264313918247</v>
      </c>
      <c r="J26" s="13">
        <f t="shared" si="3"/>
        <v>1.68415528055232</v>
      </c>
      <c r="K26" s="13">
        <f t="shared" si="4"/>
        <v>1.53280987086426</v>
      </c>
      <c r="L26" s="13">
        <f t="shared" si="5"/>
        <v>217.672946172878</v>
      </c>
      <c r="M26" s="13">
        <f t="shared" si="6"/>
        <v>107.196315327597</v>
      </c>
      <c r="N26" s="13">
        <f t="shared" si="7"/>
        <v>53.5670486398301</v>
      </c>
      <c r="O26" s="13">
        <f t="shared" si="9"/>
        <v>12.1091375824338</v>
      </c>
    </row>
    <row r="27" spans="1:15">
      <c r="A27" s="10" t="s">
        <v>76</v>
      </c>
      <c r="B27" s="11">
        <v>-20040053</v>
      </c>
      <c r="C27" s="11">
        <v>-18073217</v>
      </c>
      <c r="D27" s="11">
        <v>-22765053</v>
      </c>
      <c r="E27" s="11">
        <v>-30618503</v>
      </c>
      <c r="F27" s="11">
        <v>-42893475</v>
      </c>
      <c r="G27" s="13">
        <f t="shared" si="0"/>
        <v>-6.16794037171111</v>
      </c>
      <c r="H27" s="13">
        <f t="shared" si="1"/>
        <v>-3.78115156673177</v>
      </c>
      <c r="I27" s="13">
        <f t="shared" si="2"/>
        <v>-4.25380237755028</v>
      </c>
      <c r="J27" s="13">
        <f t="shared" si="3"/>
        <v>-4.96930974177277</v>
      </c>
      <c r="K27" s="13">
        <f t="shared" si="4"/>
        <v>-5.65156193743211</v>
      </c>
      <c r="L27" s="13">
        <f t="shared" si="5"/>
        <v>-9.81452494162565</v>
      </c>
      <c r="M27" s="13">
        <f t="shared" si="6"/>
        <v>25.9601597214265</v>
      </c>
      <c r="N27" s="13">
        <f t="shared" si="7"/>
        <v>34.4978331480274</v>
      </c>
      <c r="O27" s="13">
        <f t="shared" si="9"/>
        <v>40.0900462050676</v>
      </c>
    </row>
    <row r="28" spans="1:15">
      <c r="A28" s="10" t="s">
        <v>77</v>
      </c>
      <c r="B28" s="11">
        <v>-5330611</v>
      </c>
      <c r="C28" s="11">
        <v>-6923638</v>
      </c>
      <c r="D28" s="11">
        <v>-6280403</v>
      </c>
      <c r="E28" s="11">
        <v>-9939963</v>
      </c>
      <c r="F28" s="11">
        <v>-4142993</v>
      </c>
      <c r="G28" s="13">
        <f t="shared" si="0"/>
        <v>-1.64065887414506</v>
      </c>
      <c r="H28" s="13">
        <f t="shared" si="1"/>
        <v>-1.44851493074994</v>
      </c>
      <c r="I28" s="13">
        <f t="shared" si="2"/>
        <v>-1.1735352961126</v>
      </c>
      <c r="J28" s="13">
        <f t="shared" si="3"/>
        <v>-1.61323220043648</v>
      </c>
      <c r="K28" s="13">
        <f t="shared" si="4"/>
        <v>-0.545872805732053</v>
      </c>
      <c r="L28" s="13">
        <f t="shared" si="5"/>
        <v>29.88451042479</v>
      </c>
      <c r="M28" s="13">
        <f t="shared" si="6"/>
        <v>-9.29041928535258</v>
      </c>
      <c r="N28" s="13">
        <f t="shared" si="7"/>
        <v>58.2695091381875</v>
      </c>
      <c r="O28" s="13">
        <f t="shared" si="9"/>
        <v>-58.3198347921416</v>
      </c>
    </row>
    <row r="29" spans="1:15">
      <c r="A29" s="10" t="s">
        <v>78</v>
      </c>
      <c r="B29" s="11">
        <v>19271029</v>
      </c>
      <c r="C29" s="11">
        <v>48374913</v>
      </c>
      <c r="D29" s="11">
        <v>38997964</v>
      </c>
      <c r="E29" s="11">
        <v>32141038</v>
      </c>
      <c r="F29" s="11">
        <v>10446130</v>
      </c>
      <c r="G29" s="13">
        <f t="shared" si="0"/>
        <v>5.93124967152111</v>
      </c>
      <c r="H29" s="13">
        <f t="shared" si="1"/>
        <v>10.120659652372</v>
      </c>
      <c r="I29" s="13">
        <f t="shared" si="2"/>
        <v>7.28703034351909</v>
      </c>
      <c r="J29" s="13">
        <f t="shared" si="3"/>
        <v>5.21641352760091</v>
      </c>
      <c r="K29" s="13">
        <f t="shared" si="4"/>
        <v>1.37636203878254</v>
      </c>
      <c r="L29" s="13">
        <f t="shared" si="5"/>
        <v>151.024026791719</v>
      </c>
      <c r="M29" s="13">
        <f t="shared" si="6"/>
        <v>-19.383908762792</v>
      </c>
      <c r="N29" s="13">
        <f t="shared" si="7"/>
        <v>-17.5827794497169</v>
      </c>
      <c r="O29" s="13">
        <f t="shared" si="9"/>
        <v>-67.4990894818021</v>
      </c>
    </row>
    <row r="30" spans="1:15">
      <c r="A30" s="10" t="s">
        <v>79</v>
      </c>
      <c r="B30" s="11">
        <v>-3785461</v>
      </c>
      <c r="C30" s="11">
        <v>-10792015</v>
      </c>
      <c r="D30" s="11">
        <v>-8258890</v>
      </c>
      <c r="E30" s="11">
        <v>-6618444</v>
      </c>
      <c r="F30" s="11">
        <v>-3423268</v>
      </c>
      <c r="G30" s="13">
        <f t="shared" si="0"/>
        <v>-1.16509161564782</v>
      </c>
      <c r="H30" s="13">
        <f t="shared" si="1"/>
        <v>-2.25782960639729</v>
      </c>
      <c r="I30" s="13">
        <f t="shared" si="2"/>
        <v>-1.54322882173506</v>
      </c>
      <c r="J30" s="13">
        <f t="shared" si="3"/>
        <v>-1.07415761784884</v>
      </c>
      <c r="K30" s="13">
        <f t="shared" si="4"/>
        <v>-0.451043221152619</v>
      </c>
      <c r="L30" s="13">
        <f t="shared" si="5"/>
        <v>185.091168552522</v>
      </c>
      <c r="M30" s="13">
        <f t="shared" si="6"/>
        <v>-23.4722153369876</v>
      </c>
      <c r="N30" s="13">
        <f t="shared" si="7"/>
        <v>-19.8627902781124</v>
      </c>
      <c r="O30" s="13">
        <f t="shared" si="9"/>
        <v>-48.2768457359464</v>
      </c>
    </row>
    <row r="31" spans="1:15">
      <c r="A31" s="10" t="s">
        <v>80</v>
      </c>
      <c r="B31" s="11">
        <v>15485568</v>
      </c>
      <c r="C31" s="11">
        <v>37582898</v>
      </c>
      <c r="D31" s="11">
        <v>30739074</v>
      </c>
      <c r="E31" s="11">
        <v>25522594</v>
      </c>
      <c r="F31" s="11">
        <v>7022862</v>
      </c>
      <c r="G31" s="13">
        <f t="shared" si="0"/>
        <v>4.76615805587329</v>
      </c>
      <c r="H31" s="13">
        <f t="shared" si="1"/>
        <v>7.86283004597468</v>
      </c>
      <c r="I31" s="13">
        <f t="shared" si="2"/>
        <v>5.74380152178403</v>
      </c>
      <c r="J31" s="13">
        <f t="shared" si="3"/>
        <v>4.14225590975207</v>
      </c>
      <c r="K31" s="13">
        <f t="shared" si="4"/>
        <v>0.925318817629916</v>
      </c>
      <c r="L31" s="13">
        <f t="shared" si="5"/>
        <v>142.696283404006</v>
      </c>
      <c r="M31" s="13">
        <f t="shared" si="6"/>
        <v>-18.2099421923238</v>
      </c>
      <c r="N31" s="13">
        <f t="shared" si="7"/>
        <v>-16.970192400721</v>
      </c>
      <c r="O31" s="13">
        <f t="shared" si="9"/>
        <v>-72.4837451867157</v>
      </c>
    </row>
    <row r="32" ht="28.8" customHeight="1" spans="1:15">
      <c r="A32" s="10" t="s">
        <v>81</v>
      </c>
      <c r="B32" s="11">
        <v>910.916</v>
      </c>
      <c r="C32" s="11">
        <v>2210.759</v>
      </c>
      <c r="D32" s="11">
        <v>100.454</v>
      </c>
      <c r="E32" s="11">
        <v>73.156</v>
      </c>
      <c r="F32" s="11">
        <v>19.823</v>
      </c>
      <c r="G32" s="13">
        <f t="shared" si="0"/>
        <v>0.000280362310999756</v>
      </c>
      <c r="H32" s="13">
        <f t="shared" si="1"/>
        <v>0.000462519476002328</v>
      </c>
      <c r="I32" s="13">
        <f t="shared" si="2"/>
        <v>1.87705016120295e-5</v>
      </c>
      <c r="J32" s="13">
        <f t="shared" si="3"/>
        <v>1.18730436778418e-5</v>
      </c>
      <c r="K32" s="13">
        <f t="shared" si="4"/>
        <v>2.6118404322736e-6</v>
      </c>
      <c r="L32" s="13">
        <f t="shared" si="5"/>
        <v>142.696253002472</v>
      </c>
      <c r="M32" s="13">
        <f t="shared" si="6"/>
        <v>-95.4561306772923</v>
      </c>
      <c r="N32" s="13">
        <f t="shared" si="7"/>
        <v>-27.1746271925458</v>
      </c>
      <c r="O32" s="13">
        <f t="shared" si="9"/>
        <v>-72.9031111597135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"/>
  <sheetViews>
    <sheetView zoomScale="57" zoomScaleNormal="57" workbookViewId="0">
      <pane xSplit="1" ySplit="3" topLeftCell="B5" activePane="bottomRight" state="frozen"/>
      <selection/>
      <selection pane="topRight"/>
      <selection pane="bottomLeft"/>
      <selection pane="bottomRight" activeCell="I11" sqref="I11"/>
    </sheetView>
  </sheetViews>
  <sheetFormatPr defaultColWidth="9" defaultRowHeight="14.4" outlineLevelCol="5"/>
  <cols>
    <col min="1" max="1" width="70" customWidth="1"/>
    <col min="2" max="6" width="18" customWidth="1"/>
  </cols>
  <sheetData>
    <row r="1" ht="22" customHeight="1" spans="1:6">
      <c r="A1" s="16" t="s">
        <v>82</v>
      </c>
      <c r="B1" s="17"/>
      <c r="C1" s="17"/>
      <c r="D1" s="17"/>
      <c r="E1" s="17"/>
      <c r="F1" s="17"/>
    </row>
    <row r="2" ht="22" customHeight="1" spans="1:6">
      <c r="A2" s="16" t="s">
        <v>0</v>
      </c>
      <c r="B2" s="17"/>
      <c r="C2" s="17"/>
      <c r="D2" s="17"/>
      <c r="E2" s="17"/>
      <c r="F2" s="17"/>
    </row>
    <row r="3" ht="22" customHeight="1" spans="1:6">
      <c r="A3" s="18" t="s">
        <v>83</v>
      </c>
      <c r="B3" s="19">
        <v>2021</v>
      </c>
      <c r="C3" s="19">
        <v>2022</v>
      </c>
      <c r="D3" s="19">
        <v>2023</v>
      </c>
      <c r="E3" s="19">
        <v>2024</v>
      </c>
      <c r="F3" s="19">
        <v>2025</v>
      </c>
    </row>
    <row r="4" ht="30" customHeight="1" spans="1:6">
      <c r="A4" s="20" t="s">
        <v>84</v>
      </c>
      <c r="B4" s="21"/>
      <c r="C4" s="21"/>
      <c r="D4" s="21"/>
      <c r="E4" s="21"/>
      <c r="F4" s="21"/>
    </row>
    <row r="5" ht="30" customHeight="1" spans="1:6">
      <c r="A5" s="22" t="s">
        <v>78</v>
      </c>
      <c r="B5" s="23">
        <v>19271029</v>
      </c>
      <c r="C5" s="23">
        <v>48374913</v>
      </c>
      <c r="D5" s="23">
        <v>39683633</v>
      </c>
      <c r="E5" s="23">
        <v>31385844</v>
      </c>
      <c r="F5" s="23">
        <v>10503068</v>
      </c>
    </row>
    <row r="6" ht="30" customHeight="1" spans="1:6">
      <c r="A6" s="20" t="s">
        <v>85</v>
      </c>
      <c r="B6" s="21"/>
      <c r="C6" s="21"/>
      <c r="D6" s="21"/>
      <c r="E6" s="21"/>
      <c r="F6" s="21"/>
    </row>
    <row r="7" ht="30" customHeight="1" spans="1:6">
      <c r="A7" s="22" t="s">
        <v>86</v>
      </c>
      <c r="B7" s="23">
        <v>51484170</v>
      </c>
      <c r="C7" s="23">
        <v>62243853</v>
      </c>
      <c r="D7" s="23">
        <v>73820615</v>
      </c>
      <c r="E7" s="23">
        <v>89033552</v>
      </c>
      <c r="F7" s="23">
        <v>119929168</v>
      </c>
    </row>
    <row r="8" ht="30" customHeight="1" spans="1:6">
      <c r="A8" s="22" t="s">
        <v>87</v>
      </c>
      <c r="B8" s="23">
        <v>-3054489</v>
      </c>
      <c r="C8" s="23">
        <v>-1026474</v>
      </c>
      <c r="D8" s="23">
        <v>-1594326</v>
      </c>
      <c r="E8" s="23">
        <v>-12111266</v>
      </c>
      <c r="F8" s="23">
        <v>-20227280</v>
      </c>
    </row>
    <row r="9" ht="30" customHeight="1" spans="1:6">
      <c r="A9" s="22" t="s">
        <v>88</v>
      </c>
      <c r="B9" s="23">
        <v>-154649</v>
      </c>
      <c r="C9" s="23">
        <v>-1118045</v>
      </c>
      <c r="D9" s="23">
        <v>-34630</v>
      </c>
      <c r="E9" s="23">
        <v>-541249</v>
      </c>
      <c r="F9" s="23">
        <v>99706</v>
      </c>
    </row>
    <row r="10" ht="30" customHeight="1" spans="1:6">
      <c r="A10" s="22" t="s">
        <v>89</v>
      </c>
      <c r="B10" s="23">
        <v>-59218</v>
      </c>
      <c r="C10" s="23">
        <v>1975459</v>
      </c>
      <c r="D10" s="23">
        <v>-282960</v>
      </c>
      <c r="E10" s="23">
        <v>166140</v>
      </c>
      <c r="F10" s="23">
        <v>976702</v>
      </c>
    </row>
    <row r="11" ht="30" customHeight="1" spans="1:6">
      <c r="A11" s="22" t="s">
        <v>90</v>
      </c>
      <c r="B11" s="23">
        <v>135478</v>
      </c>
      <c r="C11" s="23">
        <v>-34996</v>
      </c>
      <c r="D11" s="23">
        <v>-143986</v>
      </c>
      <c r="E11" s="23">
        <v>553486</v>
      </c>
      <c r="F11" s="23">
        <v>739182</v>
      </c>
    </row>
    <row r="12" ht="30" customHeight="1" spans="1:6">
      <c r="A12" s="22" t="s">
        <v>91</v>
      </c>
      <c r="B12" s="23">
        <v>25899549</v>
      </c>
      <c r="C12" s="23">
        <v>37199540</v>
      </c>
      <c r="D12" s="23">
        <v>39108600</v>
      </c>
      <c r="E12" s="23">
        <v>44852585</v>
      </c>
      <c r="F12" s="23">
        <v>56069783</v>
      </c>
    </row>
    <row r="13" ht="30" customHeight="1" spans="1:6">
      <c r="A13" s="22" t="s">
        <v>92</v>
      </c>
      <c r="B13" s="23">
        <v>-602832</v>
      </c>
      <c r="C13" s="23">
        <v>442982</v>
      </c>
      <c r="D13" s="23">
        <v>1263978</v>
      </c>
      <c r="E13" s="23">
        <v>1914609</v>
      </c>
      <c r="F13" s="23">
        <v>-400390</v>
      </c>
    </row>
    <row r="14" ht="30" customHeight="1" spans="1:6">
      <c r="A14" s="22" t="s">
        <v>77</v>
      </c>
      <c r="B14" s="23">
        <v>5330611</v>
      </c>
      <c r="C14" s="23">
        <v>6923638</v>
      </c>
      <c r="D14" s="23">
        <v>6289363</v>
      </c>
      <c r="E14" s="23">
        <v>9762717</v>
      </c>
      <c r="F14" s="23">
        <v>4127100</v>
      </c>
    </row>
    <row r="15" ht="30" customHeight="1" spans="1:6">
      <c r="A15" s="22" t="s">
        <v>75</v>
      </c>
      <c r="B15" s="23">
        <v>-763039</v>
      </c>
      <c r="C15" s="23">
        <v>-2929191</v>
      </c>
      <c r="D15" s="23">
        <v>-6525390</v>
      </c>
      <c r="E15" s="23">
        <v>-10251724</v>
      </c>
      <c r="F15" s="23">
        <v>-11631156</v>
      </c>
    </row>
    <row r="16" ht="30" customHeight="1" spans="1:6">
      <c r="A16" s="22" t="s">
        <v>76</v>
      </c>
      <c r="B16" s="23">
        <v>19931534</v>
      </c>
      <c r="C16" s="23">
        <v>18019259</v>
      </c>
      <c r="D16" s="23">
        <v>22537453</v>
      </c>
      <c r="E16" s="23">
        <v>30400300</v>
      </c>
      <c r="F16" s="23">
        <v>42929986</v>
      </c>
    </row>
    <row r="17" ht="30" customHeight="1" spans="1:6">
      <c r="A17" s="22" t="s">
        <v>93</v>
      </c>
      <c r="B17" s="23">
        <v>377748</v>
      </c>
      <c r="C17" s="23">
        <v>0</v>
      </c>
      <c r="D17" s="23">
        <v>0</v>
      </c>
      <c r="E17" s="23">
        <v>0</v>
      </c>
      <c r="F17" s="23">
        <v>0</v>
      </c>
    </row>
    <row r="18" ht="30" customHeight="1" spans="1:6">
      <c r="A18" s="22" t="s">
        <v>94</v>
      </c>
      <c r="B18" s="23">
        <v>-209440</v>
      </c>
      <c r="C18" s="23">
        <v>0</v>
      </c>
      <c r="D18" s="23">
        <v>0</v>
      </c>
      <c r="E18" s="23">
        <v>-1353122</v>
      </c>
      <c r="F18" s="23">
        <v>0</v>
      </c>
    </row>
    <row r="19" ht="30" customHeight="1" spans="1:6">
      <c r="A19" s="22" t="s">
        <v>95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</row>
    <row r="20" ht="30" customHeight="1" spans="1:6">
      <c r="A20" s="22" t="s">
        <v>96</v>
      </c>
      <c r="B20" s="23">
        <v>0</v>
      </c>
      <c r="C20" s="23">
        <v>0</v>
      </c>
      <c r="D20" s="23">
        <v>0</v>
      </c>
      <c r="E20" s="23">
        <v>0</v>
      </c>
      <c r="F20" s="23">
        <v>-3007365</v>
      </c>
    </row>
    <row r="21" ht="30" customHeight="1" spans="1:6">
      <c r="A21" s="22" t="s">
        <v>97</v>
      </c>
      <c r="B21" s="23">
        <v>0</v>
      </c>
      <c r="C21" s="23">
        <v>0</v>
      </c>
      <c r="D21" s="23">
        <v>0</v>
      </c>
      <c r="E21" s="23">
        <v>2875208</v>
      </c>
      <c r="F21" s="23">
        <v>487046</v>
      </c>
    </row>
    <row r="22" ht="30" customHeight="1" spans="1:6">
      <c r="A22" s="20" t="s">
        <v>98</v>
      </c>
      <c r="B22" s="21">
        <f>B5+B7+B8+B9+B10+B11+B12+B13+B14+B15+B16+B17+B18+B19+B20+B21</f>
        <v>117586452</v>
      </c>
      <c r="C22" s="21">
        <f>C5+C7+C8+C9+C10+C11+C12+C13+C14+C15+C16+C17+C18+C19+C20+C21</f>
        <v>170070938</v>
      </c>
      <c r="D22" s="21">
        <f>D5+D7+D8+D9+D10+D11+D12+D13+D14+D15+D16+D17+D18+D19+D20+D21</f>
        <v>174122350</v>
      </c>
      <c r="E22" s="21">
        <f>E5+E7+E8+E9+E10+E11+E12+E13+E14+E15+E16+E17+E18+E19+E20+E21</f>
        <v>186687080</v>
      </c>
      <c r="F22" s="21">
        <f>F5+F7+F8+F9+F10+F11+F12+F13+F14+F15+F16+F17+F18+F19+F20+F21</f>
        <v>200595550</v>
      </c>
    </row>
    <row r="23" ht="30" customHeight="1" spans="1:6">
      <c r="A23" s="22" t="s">
        <v>99</v>
      </c>
      <c r="B23" s="23">
        <v>-1631695</v>
      </c>
      <c r="C23" s="23">
        <v>-1753047</v>
      </c>
      <c r="D23" s="23">
        <v>-378647</v>
      </c>
      <c r="E23" s="23">
        <v>-844348</v>
      </c>
      <c r="F23" s="23">
        <v>-15610002</v>
      </c>
    </row>
    <row r="24" ht="30" customHeight="1" spans="1:6">
      <c r="A24" s="22" t="s">
        <v>100</v>
      </c>
      <c r="B24" s="23">
        <v>-2727444</v>
      </c>
      <c r="C24" s="23">
        <v>1506230</v>
      </c>
      <c r="D24" s="23">
        <v>-2563042</v>
      </c>
      <c r="E24" s="23">
        <v>-4801113</v>
      </c>
      <c r="F24" s="23">
        <v>-10538566</v>
      </c>
    </row>
    <row r="25" ht="30" customHeight="1" spans="1:6">
      <c r="A25" s="22" t="s">
        <v>101</v>
      </c>
      <c r="B25" s="23">
        <v>-1497495</v>
      </c>
      <c r="C25" s="23">
        <v>-221491</v>
      </c>
      <c r="D25" s="23">
        <v>-7649028</v>
      </c>
      <c r="E25" s="23">
        <v>770927</v>
      </c>
      <c r="F25" s="23">
        <v>-11567469</v>
      </c>
    </row>
    <row r="26" ht="30" customHeight="1" spans="1:6">
      <c r="A26" s="22" t="s">
        <v>102</v>
      </c>
      <c r="B26" s="23">
        <v>1738628</v>
      </c>
      <c r="C26" s="23">
        <v>-337071</v>
      </c>
      <c r="D26" s="23">
        <v>-8198544</v>
      </c>
      <c r="E26" s="23">
        <v>-8395476</v>
      </c>
      <c r="F26" s="23">
        <v>-35710953</v>
      </c>
    </row>
    <row r="27" ht="30" customHeight="1" spans="1:6">
      <c r="A27" s="22" t="s">
        <v>103</v>
      </c>
      <c r="B27" s="23">
        <v>8760455</v>
      </c>
      <c r="C27" s="23">
        <v>10098326</v>
      </c>
      <c r="D27" s="23">
        <v>657050</v>
      </c>
      <c r="E27" s="23">
        <v>1607274</v>
      </c>
      <c r="F27" s="23">
        <v>5243704</v>
      </c>
    </row>
    <row r="28" ht="30" customHeight="1" spans="1:6">
      <c r="A28" s="22" t="s">
        <v>104</v>
      </c>
      <c r="B28" s="23">
        <v>-3147644</v>
      </c>
      <c r="C28" s="23">
        <v>2760578</v>
      </c>
      <c r="D28" s="23">
        <v>-58779</v>
      </c>
      <c r="E28" s="23">
        <v>420291</v>
      </c>
      <c r="F28" s="23">
        <v>117455</v>
      </c>
    </row>
    <row r="29" ht="30" customHeight="1" spans="1:6">
      <c r="A29" s="20" t="s">
        <v>105</v>
      </c>
      <c r="B29" s="21">
        <f>B22+B23+B24+B25+B26+B27+B28</f>
        <v>119081257</v>
      </c>
      <c r="C29" s="21">
        <f>C22+C23+C24+C25+C26+C27+C28</f>
        <v>182124463</v>
      </c>
      <c r="D29" s="21">
        <f>D22+D23+D24+D25+D26+D27+D28</f>
        <v>155931360</v>
      </c>
      <c r="E29" s="21">
        <f>E22+E23+E24+E25+E26+E27+E28</f>
        <v>175444635</v>
      </c>
      <c r="F29" s="21">
        <f>F22+F23+F24+F25+F26+F27+F28</f>
        <v>132529719</v>
      </c>
    </row>
    <row r="30" ht="30" customHeight="1" spans="1:6">
      <c r="A30" s="22" t="s">
        <v>106</v>
      </c>
      <c r="B30" s="23">
        <v>-1707547</v>
      </c>
      <c r="C30" s="23">
        <v>-21822810</v>
      </c>
      <c r="D30" s="23">
        <v>-19519671</v>
      </c>
      <c r="E30" s="23">
        <v>-12550855</v>
      </c>
      <c r="F30" s="23">
        <v>-16566867</v>
      </c>
    </row>
    <row r="31" ht="30" customHeight="1" spans="1:6">
      <c r="A31" s="22" t="s">
        <v>107</v>
      </c>
      <c r="B31" s="23">
        <v>693694</v>
      </c>
      <c r="C31" s="23">
        <v>2929191</v>
      </c>
      <c r="D31" s="23">
        <v>6416034</v>
      </c>
      <c r="E31" s="23">
        <v>10233368</v>
      </c>
      <c r="F31" s="23">
        <v>11628024</v>
      </c>
    </row>
    <row r="32" ht="30" customHeight="1" spans="1:6">
      <c r="A32" s="20" t="s">
        <v>108</v>
      </c>
      <c r="B32" s="21">
        <f>B29+B30+B31</f>
        <v>118067404</v>
      </c>
      <c r="C32" s="21">
        <f>C29+C30+C31</f>
        <v>163230844</v>
      </c>
      <c r="D32" s="21">
        <f>D29+D30+D31</f>
        <v>142827723</v>
      </c>
      <c r="E32" s="21">
        <f>E29+E30+E31</f>
        <v>173127148</v>
      </c>
      <c r="F32" s="21">
        <f>F29+F30+F31</f>
        <v>127590876</v>
      </c>
    </row>
    <row r="33" ht="30" customHeight="1" spans="1:6">
      <c r="A33" s="20" t="s">
        <v>109</v>
      </c>
      <c r="B33" s="21"/>
      <c r="C33" s="21"/>
      <c r="D33" s="21"/>
      <c r="E33" s="21"/>
      <c r="F33" s="21"/>
    </row>
    <row r="34" ht="30" customHeight="1" spans="1:6">
      <c r="A34" s="22" t="s">
        <v>110</v>
      </c>
      <c r="B34" s="23">
        <v>-13497482</v>
      </c>
      <c r="C34" s="23">
        <v>-22227370</v>
      </c>
      <c r="D34" s="23">
        <v>-19035768</v>
      </c>
      <c r="E34" s="23">
        <v>-46099340</v>
      </c>
      <c r="F34" s="23">
        <v>-28152607</v>
      </c>
    </row>
    <row r="35" ht="30" customHeight="1" spans="1:6">
      <c r="A35" s="22" t="s">
        <v>111</v>
      </c>
      <c r="B35" s="23">
        <v>3714556</v>
      </c>
      <c r="C35" s="23">
        <v>0</v>
      </c>
      <c r="D35" s="23">
        <v>0</v>
      </c>
      <c r="E35" s="23">
        <v>42593931</v>
      </c>
      <c r="F35" s="23">
        <v>72947775</v>
      </c>
    </row>
    <row r="36" ht="30" customHeight="1" spans="1:6">
      <c r="A36" s="22" t="s">
        <v>112</v>
      </c>
      <c r="B36" s="23">
        <v>1696451</v>
      </c>
      <c r="C36" s="23">
        <v>908988</v>
      </c>
      <c r="D36" s="23">
        <v>2269146</v>
      </c>
      <c r="E36" s="23">
        <v>1286760</v>
      </c>
      <c r="F36" s="23">
        <v>1868836</v>
      </c>
    </row>
    <row r="37" ht="30" customHeight="1" spans="1:6">
      <c r="A37" s="22" t="s">
        <v>113</v>
      </c>
      <c r="B37" s="23">
        <v>-231449</v>
      </c>
      <c r="C37" s="23">
        <v>-306179</v>
      </c>
      <c r="D37" s="23">
        <v>-964159</v>
      </c>
      <c r="E37" s="23">
        <v>-1735291</v>
      </c>
      <c r="F37" s="23">
        <v>-749623</v>
      </c>
    </row>
    <row r="38" ht="30" customHeight="1" spans="1:6">
      <c r="A38" s="22" t="s">
        <v>114</v>
      </c>
      <c r="B38" s="23">
        <v>-1753113</v>
      </c>
      <c r="C38" s="23">
        <v>-11643697</v>
      </c>
      <c r="D38" s="23">
        <v>-4546950</v>
      </c>
      <c r="E38" s="23">
        <v>-5988095</v>
      </c>
      <c r="F38" s="23">
        <v>-29779226</v>
      </c>
    </row>
    <row r="39" ht="30" customHeight="1" spans="1:6">
      <c r="A39" s="22" t="s">
        <v>115</v>
      </c>
      <c r="B39" s="23">
        <v>4508675</v>
      </c>
      <c r="C39" s="23">
        <v>5471423</v>
      </c>
      <c r="D39" s="23">
        <v>1310455</v>
      </c>
      <c r="E39" s="23">
        <v>1432662</v>
      </c>
      <c r="F39" s="23">
        <v>1463748</v>
      </c>
    </row>
    <row r="40" ht="30" customHeight="1" spans="1:6">
      <c r="A40" s="20" t="s">
        <v>116</v>
      </c>
      <c r="B40" s="21">
        <f>B34+B35+B36+B37+B38+B39</f>
        <v>-5562362</v>
      </c>
      <c r="C40" s="21">
        <f>C34+C35+C36+C37+C38+C39</f>
        <v>-27796835</v>
      </c>
      <c r="D40" s="21">
        <f>D34+D35+D36+D37+D38+D39</f>
        <v>-20967276</v>
      </c>
      <c r="E40" s="21">
        <f>E34+E35+E36+E37+E38+E39</f>
        <v>-8509373</v>
      </c>
      <c r="F40" s="21">
        <f>F34+F35+F36+F37+F38+F39</f>
        <v>17598903</v>
      </c>
    </row>
    <row r="41" ht="30" customHeight="1" spans="1:6">
      <c r="A41" s="20" t="s">
        <v>117</v>
      </c>
      <c r="B41" s="21"/>
      <c r="C41" s="21"/>
      <c r="D41" s="21"/>
      <c r="E41" s="21"/>
      <c r="F41" s="21"/>
    </row>
    <row r="42" ht="30" customHeight="1" spans="1:6">
      <c r="A42" s="22" t="s">
        <v>118</v>
      </c>
      <c r="B42" s="23">
        <v>-39916368</v>
      </c>
      <c r="C42" s="23">
        <v>-80533966</v>
      </c>
      <c r="D42" s="23">
        <v>-78965381</v>
      </c>
      <c r="E42" s="23">
        <v>-89579507</v>
      </c>
      <c r="F42" s="23">
        <v>-99581823</v>
      </c>
    </row>
    <row r="43" ht="30" customHeight="1" spans="1:6">
      <c r="A43" s="22" t="s">
        <v>119</v>
      </c>
      <c r="B43" s="23">
        <v>-20845124</v>
      </c>
      <c r="C43" s="23">
        <v>-17386235</v>
      </c>
      <c r="D43" s="23">
        <v>-19464081</v>
      </c>
      <c r="E43" s="23">
        <v>-25618014</v>
      </c>
      <c r="F43" s="23">
        <v>-34798460</v>
      </c>
    </row>
    <row r="44" ht="30" customHeight="1" spans="1:6">
      <c r="A44" s="22" t="s">
        <v>120</v>
      </c>
      <c r="B44" s="23">
        <v>-45800736</v>
      </c>
      <c r="C44" s="23">
        <v>-46837797</v>
      </c>
      <c r="D44" s="23">
        <v>-21251603</v>
      </c>
      <c r="E44" s="23">
        <v>-18092772</v>
      </c>
      <c r="F44" s="23">
        <v>-275627</v>
      </c>
    </row>
    <row r="45" ht="30" customHeight="1" spans="1:6">
      <c r="A45" s="22" t="s">
        <v>121</v>
      </c>
      <c r="B45" s="23">
        <v>5318400</v>
      </c>
      <c r="C45" s="23">
        <v>25603151</v>
      </c>
      <c r="D45" s="23">
        <v>15947815</v>
      </c>
      <c r="E45" s="23">
        <v>17975580</v>
      </c>
      <c r="F45" s="23">
        <v>2888344</v>
      </c>
    </row>
    <row r="46" ht="30" customHeight="1" spans="1:6">
      <c r="A46" s="22" t="s">
        <v>122</v>
      </c>
      <c r="B46" s="23">
        <v>0</v>
      </c>
      <c r="C46" s="23">
        <v>0</v>
      </c>
      <c r="D46" s="23">
        <v>0</v>
      </c>
      <c r="E46" s="23">
        <v>-3878166</v>
      </c>
      <c r="F46" s="23">
        <v>-1341595</v>
      </c>
    </row>
    <row r="47" ht="30" customHeight="1" spans="1:6">
      <c r="A47" s="22" t="s">
        <v>123</v>
      </c>
      <c r="B47" s="23">
        <v>0</v>
      </c>
      <c r="C47" s="23">
        <v>0</v>
      </c>
      <c r="D47" s="23">
        <v>0</v>
      </c>
      <c r="E47" s="23">
        <v>0</v>
      </c>
      <c r="F47" s="23">
        <v>-7830</v>
      </c>
    </row>
    <row r="48" ht="30" customHeight="1" spans="1:6">
      <c r="A48" s="22" t="s">
        <v>124</v>
      </c>
      <c r="B48" s="23">
        <v>0</v>
      </c>
      <c r="C48" s="23">
        <v>0</v>
      </c>
      <c r="D48" s="23">
        <v>0</v>
      </c>
      <c r="E48" s="23">
        <v>57001504</v>
      </c>
      <c r="F48" s="23">
        <v>0</v>
      </c>
    </row>
    <row r="49" ht="30" customHeight="1" spans="1:6">
      <c r="A49" s="22" t="s">
        <v>125</v>
      </c>
      <c r="B49" s="23">
        <v>0</v>
      </c>
      <c r="C49" s="23">
        <v>0</v>
      </c>
      <c r="D49" s="23">
        <v>-7644016</v>
      </c>
      <c r="E49" s="23">
        <v>0</v>
      </c>
      <c r="F49" s="23">
        <v>-19393090</v>
      </c>
    </row>
    <row r="50" ht="30" customHeight="1" spans="1:6">
      <c r="A50" s="20" t="s">
        <v>126</v>
      </c>
      <c r="B50" s="21">
        <f>B42+B43+B44+B45+B46+B47+B48+B49</f>
        <v>-101243828</v>
      </c>
      <c r="C50" s="21">
        <f>C42+C43+C44+C45+C46+C47+C48+C49</f>
        <v>-119154847</v>
      </c>
      <c r="D50" s="21">
        <f>D42+D43+D44+D45+D46+D47+D48+D49</f>
        <v>-111377266</v>
      </c>
      <c r="E50" s="21">
        <f>E42+E43+E44+E45+E46+E47+E48+E49</f>
        <v>-62191375</v>
      </c>
      <c r="F50" s="21">
        <f>F42+F43+F44+F45+F46+F47+F48+F49</f>
        <v>-152510081</v>
      </c>
    </row>
    <row r="51" ht="30" customHeight="1" spans="1:6">
      <c r="A51" s="20" t="s">
        <v>127</v>
      </c>
      <c r="B51" s="21">
        <f>B32+B40+B50</f>
        <v>11261214</v>
      </c>
      <c r="C51" s="21">
        <f>C32+C40+C50</f>
        <v>16279162</v>
      </c>
      <c r="D51" s="21">
        <f>D32+D40+D50</f>
        <v>10483181</v>
      </c>
      <c r="E51" s="21">
        <f>E32+E40+E50</f>
        <v>102426400</v>
      </c>
      <c r="F51" s="21">
        <f>F32+F40+F50</f>
        <v>-7320302</v>
      </c>
    </row>
    <row r="52" ht="30" customHeight="1" spans="1:6">
      <c r="A52" s="22" t="s">
        <v>128</v>
      </c>
      <c r="B52" s="23">
        <v>-787729</v>
      </c>
      <c r="C52" s="23">
        <v>-246357</v>
      </c>
      <c r="D52" s="23">
        <v>-860271</v>
      </c>
      <c r="E52" s="23">
        <v>-1353593</v>
      </c>
      <c r="F52" s="23">
        <v>-940160</v>
      </c>
    </row>
    <row r="53" ht="30" customHeight="1" spans="1:6">
      <c r="A53" s="22" t="s">
        <v>129</v>
      </c>
      <c r="B53" s="23">
        <v>-426</v>
      </c>
      <c r="C53" s="23">
        <v>-710</v>
      </c>
      <c r="D53" s="23">
        <v>-456</v>
      </c>
      <c r="E53" s="23">
        <v>-941</v>
      </c>
      <c r="F53" s="23">
        <v>-1044</v>
      </c>
    </row>
    <row r="54" ht="30" customHeight="1" spans="1:6">
      <c r="A54" s="22" t="s">
        <v>130</v>
      </c>
      <c r="B54" s="23">
        <v>2515982</v>
      </c>
      <c r="C54" s="23">
        <v>3225585</v>
      </c>
      <c r="D54" s="23">
        <v>0</v>
      </c>
      <c r="E54" s="23">
        <v>-24945</v>
      </c>
      <c r="F54" s="23">
        <v>0</v>
      </c>
    </row>
    <row r="55" ht="30" customHeight="1" spans="1:6">
      <c r="A55" s="22" t="s">
        <v>131</v>
      </c>
      <c r="B55" s="23">
        <v>84751912</v>
      </c>
      <c r="C55" s="23">
        <v>97740953</v>
      </c>
      <c r="D55" s="23">
        <v>115228890</v>
      </c>
      <c r="E55" s="23">
        <v>128961243</v>
      </c>
      <c r="F55" s="23">
        <v>255112842</v>
      </c>
    </row>
    <row r="56" ht="30" customHeight="1" spans="1:6">
      <c r="A56" s="20" t="s">
        <v>132</v>
      </c>
      <c r="B56" s="21">
        <f>B51+B52+B53+B54+B55</f>
        <v>97740953</v>
      </c>
      <c r="C56" s="21">
        <f>C51+C52+C53+C54+C55</f>
        <v>116998633</v>
      </c>
      <c r="D56" s="21">
        <f>D51+D52+D53+D54+D55</f>
        <v>124851344</v>
      </c>
      <c r="E56" s="21">
        <f>E51+E52+E53+E54+E55</f>
        <v>230008164</v>
      </c>
      <c r="F56" s="21">
        <f>F51+F52+F53+F54+F55</f>
        <v>246851336</v>
      </c>
    </row>
    <row r="57" ht="30" customHeight="1" spans="1:6">
      <c r="A57" s="20" t="s">
        <v>133</v>
      </c>
      <c r="B57" s="21"/>
      <c r="C57" s="21"/>
      <c r="D57" s="21"/>
      <c r="E57" s="21"/>
      <c r="F57" s="21"/>
    </row>
    <row r="58" ht="30" customHeight="1" spans="1:6">
      <c r="A58" s="20" t="s">
        <v>134</v>
      </c>
      <c r="B58" s="21">
        <f>-B34</f>
        <v>13497482</v>
      </c>
      <c r="C58" s="21">
        <f>-C34</f>
        <v>22227370</v>
      </c>
      <c r="D58" s="21">
        <f>-D34</f>
        <v>19035768</v>
      </c>
      <c r="E58" s="21">
        <f>-E34</f>
        <v>46099340</v>
      </c>
      <c r="F58" s="21">
        <f>-F34</f>
        <v>28152607</v>
      </c>
    </row>
    <row r="59" ht="30" customHeight="1" spans="1:6">
      <c r="A59" s="20" t="s">
        <v>135</v>
      </c>
      <c r="B59" s="21">
        <f>B32-B58</f>
        <v>104569922</v>
      </c>
      <c r="C59" s="21">
        <f>C32-C58</f>
        <v>141003474</v>
      </c>
      <c r="D59" s="21">
        <f>D32-D58</f>
        <v>123791955</v>
      </c>
      <c r="E59" s="21">
        <f>E32-E58</f>
        <v>127027808</v>
      </c>
      <c r="F59" s="21">
        <f>F32-F58</f>
        <v>99438269</v>
      </c>
    </row>
    <row r="60" ht="30" customHeight="1" spans="1:6">
      <c r="A60" s="20" t="s">
        <v>136</v>
      </c>
      <c r="B60" s="24">
        <f>B32/ОПиУ!B31</f>
        <v>7.62435087947694</v>
      </c>
      <c r="C60" s="24">
        <f>C32/ОПиУ!C31</f>
        <v>4.34322132369888</v>
      </c>
      <c r="D60" s="24">
        <f>D32/ОПиУ!D31</f>
        <v>4.6464549647787</v>
      </c>
      <c r="E60" s="24">
        <f>E32/ОПиУ!E31</f>
        <v>6.78328966091769</v>
      </c>
      <c r="F60" s="24">
        <f>F32/ОПиУ!F31</f>
        <v>18.1679315356047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D24" sqref="D24"/>
    </sheetView>
  </sheetViews>
  <sheetFormatPr defaultColWidth="9" defaultRowHeight="14.4" outlineLevelCol="5"/>
  <cols>
    <col min="1" max="1" width="42.712962962963" customWidth="1"/>
    <col min="2" max="6" width="16.712962962963" customWidth="1"/>
  </cols>
  <sheetData>
    <row r="1" spans="1:6">
      <c r="A1" s="8" t="s">
        <v>137</v>
      </c>
      <c r="B1" s="8">
        <v>2021</v>
      </c>
      <c r="C1" s="8">
        <v>2022</v>
      </c>
      <c r="D1" s="8">
        <v>2023</v>
      </c>
      <c r="E1" s="8">
        <v>2024</v>
      </c>
      <c r="F1" s="8">
        <v>2025</v>
      </c>
    </row>
    <row r="2" spans="1:6">
      <c r="A2" s="10" t="s">
        <v>138</v>
      </c>
      <c r="B2" s="13">
        <f>(ОПиУ!B7+ОПиУ!B9+ОПиУ!B10+ОПиУ!B12+ОПиУ!B13+ОПиУ!B14)/ОПиУ!B7</f>
        <v>0.372019429182389</v>
      </c>
      <c r="C2" s="13">
        <f>(ОПиУ!C7+ОПиУ!C9+ОПиУ!C10+ОПиУ!C12+ОПиУ!C13+ОПиУ!C14)/ОПиУ!C7</f>
        <v>0.350738198999862</v>
      </c>
      <c r="D2" s="13">
        <f>(ОПиУ!D7+ОПиУ!D9+ОПиУ!D10+ОПиУ!D12+ОПиУ!D13+ОПиУ!D14)/ОПиУ!D7</f>
        <v>0.32878452404786</v>
      </c>
      <c r="E2" s="13">
        <f>(ОПиУ!E7+ОПиУ!E9+ОПиУ!E10+ОПиУ!E12+ОПиУ!E13+ОПиУ!E14)/ОПиУ!E7</f>
        <v>0.321576968650528</v>
      </c>
      <c r="F2" s="13">
        <f>(ОПиУ!F7+ОПиУ!F9+ОПиУ!F10+ОПиУ!F12+ОПиУ!F13+ОПиУ!F14)/ОПиУ!F7</f>
        <v>0.298500220298852</v>
      </c>
    </row>
    <row r="3" spans="1:6">
      <c r="A3" s="10" t="s">
        <v>139</v>
      </c>
      <c r="B3" s="13">
        <f>ОПиУ!B25/ОПиУ!B7</f>
        <v>0.134238751550122</v>
      </c>
      <c r="C3" s="13">
        <f>ОПиУ!C25/ОПиУ!C7</f>
        <v>0.14668021117071</v>
      </c>
      <c r="D3" s="13">
        <f>ОПиУ!D25/ОПиУ!D7</f>
        <v>0.114517248779995</v>
      </c>
      <c r="E3" s="13">
        <f>ОПиУ!E25/ОПиУ!E7</f>
        <v>0.101148001892578</v>
      </c>
      <c r="F3" s="13">
        <f>ОПиУ!F25/ОПиУ!F7</f>
        <v>0.0604098691108244</v>
      </c>
    </row>
    <row r="4" spans="1:6">
      <c r="A4" s="10" t="s">
        <v>140</v>
      </c>
      <c r="B4" s="13">
        <f>ОПиУ!B31/ОПиУ!B7</f>
        <v>0.0476615805587329</v>
      </c>
      <c r="C4" s="13">
        <f>ОПиУ!C31/ОПиУ!C7</f>
        <v>0.0786283004597468</v>
      </c>
      <c r="D4" s="13">
        <f>ОПиУ!D31/ОПиУ!D7</f>
        <v>0.0574380152178403</v>
      </c>
      <c r="E4" s="13">
        <f>ОПиУ!E31/ОПиУ!E7</f>
        <v>0.0414225590975207</v>
      </c>
      <c r="F4" s="13">
        <f>ОПиУ!F31/ОПиУ!F7</f>
        <v>0.00925318817629916</v>
      </c>
    </row>
    <row r="5" spans="1:6">
      <c r="A5" s="10" t="s">
        <v>141</v>
      </c>
      <c r="B5" s="13">
        <f>(Баланс!B11+Баланс!B12+Баланс!B13+Баланс!B14+Баланс!B15+Баланс!B16+Баланс!B17+Баланс!B18)/(Баланс!B36+Баланс!B37+Баланс!B38+Баланс!B39+Баланс!B40+Баланс!B41+Баланс!B42)</f>
        <v>0.926077178171563</v>
      </c>
      <c r="C5" s="13">
        <f>(Баланс!C11+Баланс!C12+Баланс!C13+Баланс!C14+Баланс!C15+Баланс!C16+Баланс!C17+Баланс!C18)/(Баланс!C36+Баланс!C37+Баланс!C38+Баланс!C39+Баланс!C40+Баланс!C41+Баланс!C42)</f>
        <v>0.917264163636629</v>
      </c>
      <c r="D5" s="13">
        <f>(Баланс!D11+Баланс!D12+Баланс!D13+Баланс!D14+Баланс!D15+Баланс!D16+Баланс!D17+Баланс!D18)/(Баланс!D36+Баланс!D37+Баланс!D38+Баланс!D39+Баланс!D40+Баланс!D41+Баланс!D42)</f>
        <v>0.912718111045841</v>
      </c>
      <c r="E5" s="13">
        <f>(Баланс!E11+Баланс!E12+Баланс!E13+Баланс!E14+Баланс!E15+Баланс!E16+Баланс!E17+Баланс!E18)/(Баланс!E36+Баланс!E37+Баланс!E38+Баланс!E39+Баланс!E40+Баланс!E41+Баланс!E42)</f>
        <v>1.54970345414874</v>
      </c>
      <c r="F5" s="13">
        <f>(Баланс!F11+Баланс!F12+Баланс!F13+Баланс!F14+Баланс!F15+Баланс!F16+Баланс!F17+Баланс!F18)/(Баланс!F36+Баланс!F37+Баланс!F38+Баланс!F39+Баланс!F40+Баланс!F41+Баланс!F42)</f>
        <v>1.23827051863579</v>
      </c>
    </row>
    <row r="6" spans="1:6">
      <c r="A6" s="10" t="s">
        <v>142</v>
      </c>
      <c r="B6" s="13">
        <f>(Баланс!B14+Баланс!B16+Баланс!B17+Баланс!B18)/(Баланс!B36+Баланс!B37+Баланс!B38+Баланс!B39+Баланс!B40+Баланс!B41+Баланс!B42)</f>
        <v>0.68370244109875</v>
      </c>
      <c r="C6" s="13">
        <f>(Баланс!C14+Баланс!C16+Баланс!C17+Баланс!C18)/(Баланс!C36+Баланс!C37+Баланс!C38+Баланс!C39+Баланс!C40+Баланс!C41+Баланс!C42)</f>
        <v>0.698413535447524</v>
      </c>
      <c r="D6" s="13">
        <f>(Баланс!D14+Баланс!D16+Баланс!D17+Баланс!D18)/(Баланс!D36+Баланс!D37+Баланс!D38+Баланс!D39+Баланс!D40+Баланс!D41+Баланс!D42)</f>
        <v>0.65856851634442</v>
      </c>
      <c r="E6" s="13">
        <f>(Баланс!E14+Баланс!E16+Баланс!E17+Баланс!E18)/(Баланс!E36+Баланс!E37+Баланс!E38+Баланс!E39+Баланс!E40+Баланс!E41+Баланс!E42)</f>
        <v>1.24960480985298</v>
      </c>
      <c r="F6" s="13">
        <f>(Баланс!F14+Баланс!F16+Баланс!F17+Баланс!F18)/(Баланс!F36+Баланс!F37+Баланс!F38+Баланс!F39+Баланс!F40+Баланс!F41+Баланс!F42)</f>
        <v>0.963364163965208</v>
      </c>
    </row>
    <row r="7" spans="1:6">
      <c r="A7" s="10" t="s">
        <v>143</v>
      </c>
      <c r="B7" s="13">
        <f>(Баланс!B17+Баланс!B18)/(Баланс!B36+Баланс!B37+Баланс!B38+Баланс!B39+Баланс!B40+Баланс!B41+Баланс!B42)</f>
        <v>0.640664400833242</v>
      </c>
      <c r="C7" s="13">
        <f>(Баланс!C17+Баланс!C18)/(Баланс!C36+Баланс!C37+Баланс!C38+Баланс!C39+Баланс!C40+Баланс!C41+Баланс!C42)</f>
        <v>0.636357275900136</v>
      </c>
      <c r="D7" s="13">
        <f>(Баланс!D17+Баланс!D18)/(Баланс!D36+Баланс!D37+Баланс!D38+Баланс!D39+Баланс!D40+Баланс!D41+Баланс!D42)</f>
        <v>0.602632314283548</v>
      </c>
      <c r="E7" s="13">
        <f>(Баланс!E17+Баланс!E18)/(Баланс!E36+Баланс!E37+Баланс!E38+Баланс!E39+Баланс!E40+Баланс!E41+Баланс!E42)</f>
        <v>1.19105135484591</v>
      </c>
      <c r="F7" s="13">
        <f>(Баланс!F17+Баланс!F18)/(Баланс!F36+Баланс!F37+Баланс!F38+Баланс!F39+Баланс!F40+Баланс!F41+Баланс!F42)</f>
        <v>0.829295695558164</v>
      </c>
    </row>
    <row r="8" spans="1:6">
      <c r="A8" s="10" t="s">
        <v>144</v>
      </c>
      <c r="B8" s="13">
        <f>Баланс!B29/Баланс!B19</f>
        <v>0.0580424638961809</v>
      </c>
      <c r="C8" s="13">
        <f>Баланс!C29/Баланс!C19</f>
        <v>0.121729192625044</v>
      </c>
      <c r="D8" s="13">
        <f>Баланс!D29/Баланс!D19</f>
        <v>0.15660019500041</v>
      </c>
      <c r="E8" s="13">
        <f>Баланс!E29/Баланс!E19</f>
        <v>0.217602690708722</v>
      </c>
      <c r="F8" s="13">
        <f>Баланс!F29/Баланс!F19</f>
        <v>0.179576685355122</v>
      </c>
    </row>
    <row r="9" spans="1:6">
      <c r="A9" s="10" t="s">
        <v>145</v>
      </c>
      <c r="B9" s="13">
        <f>Баланс!B43/Баланс!B29</f>
        <v>16.2287655084504</v>
      </c>
      <c r="C9" s="13">
        <f>Баланс!C43/Баланс!C29</f>
        <v>7.21495631767022</v>
      </c>
      <c r="D9" s="13">
        <f>Баланс!D43/Баланс!D29</f>
        <v>5.38568808932441</v>
      </c>
      <c r="E9" s="13">
        <f>Баланс!E43/Баланс!E29</f>
        <v>3.59553140975898</v>
      </c>
      <c r="F9" s="13">
        <f>Баланс!F43/Баланс!F29</f>
        <v>4.56865162101888</v>
      </c>
    </row>
    <row r="10" spans="1:6">
      <c r="A10" s="10" t="s">
        <v>146</v>
      </c>
      <c r="B10" s="13">
        <f>ОПиУ!B25/(-ОПиУ!B27)</f>
        <v>2.17639509236827</v>
      </c>
      <c r="C10" s="13">
        <f>ОПиУ!C25/(-ОПиУ!C27)</f>
        <v>3.87924706486952</v>
      </c>
      <c r="D10" s="13">
        <f>ОПиУ!D25/(-ОПиУ!D27)</f>
        <v>2.69211492720882</v>
      </c>
      <c r="E10" s="13">
        <f>ОПиУ!E25/(-ОПиУ!E27)</f>
        <v>2.03545375814095</v>
      </c>
      <c r="F10" s="13">
        <f>ОПиУ!F25/(-ОПиУ!F27)</f>
        <v>1.06890572517149</v>
      </c>
    </row>
    <row r="11" spans="1:6">
      <c r="A11" s="10" t="s">
        <v>147</v>
      </c>
      <c r="B11" s="11">
        <f>(Баланс!B11+Баланс!B12+Баланс!B13+Баланс!B14+Баланс!B15+Баланс!B16+Баланс!B17+Баланс!B18)-(Баланс!B36+Баланс!B37+Баланс!B38+Баланс!B39+Баланс!B40+Баланс!B41+Баланс!B42)</f>
        <v>-11645647</v>
      </c>
      <c r="C11" s="11">
        <f>(Баланс!C11+Баланс!C12+Баланс!C13+Баланс!C14+Баланс!C15+Баланс!C16+Баланс!C17+Баланс!C18)-(Баланс!C36+Баланс!C37+Баланс!C38+Баланс!C39+Баланс!C40+Баланс!C41+Баланс!C42)</f>
        <v>-15311400</v>
      </c>
      <c r="D11" s="11">
        <f>(Баланс!D11+Баланс!D12+Баланс!D13+Баланс!D14+Баланс!D15+Баланс!D16+Баланс!D17+Баланс!D18)-(Баланс!D36+Баланс!D37+Баланс!D38+Баланс!D39+Баланс!D40+Баланс!D41+Баланс!D42)</f>
        <v>-18089671</v>
      </c>
      <c r="E11" s="11">
        <f>(Баланс!E11+Баланс!E12+Баланс!E13+Баланс!E14+Баланс!E15+Баланс!E16+Баланс!E17+Баланс!E18)-(Баланс!E36+Баланс!E37+Баланс!E38+Баланс!E39+Баланс!E40+Баланс!E41+Баланс!E42)</f>
        <v>118511550</v>
      </c>
      <c r="F11" s="11">
        <f>(Баланс!F11+Баланс!F12+Баланс!F13+Баланс!F14+Баланс!F15+Баланс!F16+Баланс!F17+Баланс!F18)-(Баланс!F36+Баланс!F37+Баланс!F38+Баланс!F39+Баланс!F40+Баланс!F41+Баланс!F42)</f>
        <v>68719220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"/>
  <sheetViews>
    <sheetView workbookViewId="0">
      <pane xSplit="5" ySplit="1" topLeftCell="AB2" activePane="bottomRight" state="frozen"/>
      <selection/>
      <selection pane="topRight"/>
      <selection pane="bottomLeft"/>
      <selection pane="bottomRight" activeCell="AC14" sqref="AC14"/>
    </sheetView>
  </sheetViews>
  <sheetFormatPr defaultColWidth="9" defaultRowHeight="14.4" outlineLevelRow="5"/>
  <cols>
    <col min="1" max="4" width="14.712962962963" customWidth="1"/>
    <col min="5" max="5" width="48.712962962963" customWidth="1"/>
    <col min="6" max="29" width="18.712962962963" customWidth="1"/>
    <col min="30" max="31" width="18" customWidth="1"/>
  </cols>
  <sheetData>
    <row r="1" ht="28.8" customHeight="1" spans="1:31">
      <c r="A1" s="8" t="s">
        <v>148</v>
      </c>
      <c r="B1" s="8" t="s">
        <v>149</v>
      </c>
      <c r="C1" s="8" t="s">
        <v>150</v>
      </c>
      <c r="D1" s="8" t="s">
        <v>151</v>
      </c>
      <c r="E1" s="8" t="s">
        <v>152</v>
      </c>
      <c r="F1" s="8" t="s">
        <v>153</v>
      </c>
      <c r="G1" s="8" t="s">
        <v>74</v>
      </c>
      <c r="H1" s="8" t="s">
        <v>154</v>
      </c>
      <c r="I1" s="8" t="s">
        <v>155</v>
      </c>
      <c r="J1" s="8" t="s">
        <v>156</v>
      </c>
      <c r="K1" s="8" t="s">
        <v>157</v>
      </c>
      <c r="L1" s="8" t="s">
        <v>158</v>
      </c>
      <c r="M1" s="8" t="s">
        <v>159</v>
      </c>
      <c r="N1" s="8" t="s">
        <v>160</v>
      </c>
      <c r="O1" s="8" t="s">
        <v>12</v>
      </c>
      <c r="P1" s="8" t="s">
        <v>13</v>
      </c>
      <c r="Q1" s="8" t="s">
        <v>161</v>
      </c>
      <c r="R1" s="8" t="s">
        <v>162</v>
      </c>
      <c r="S1" s="8" t="s">
        <v>163</v>
      </c>
      <c r="T1" s="8" t="s">
        <v>164</v>
      </c>
      <c r="U1" s="8" t="s">
        <v>165</v>
      </c>
      <c r="V1" s="8" t="s">
        <v>166</v>
      </c>
      <c r="W1" s="8" t="s">
        <v>167</v>
      </c>
      <c r="X1" s="8" t="s">
        <v>139</v>
      </c>
      <c r="Y1" s="8" t="s">
        <v>140</v>
      </c>
      <c r="Z1" s="8" t="s">
        <v>168</v>
      </c>
      <c r="AA1" s="8" t="s">
        <v>169</v>
      </c>
      <c r="AB1" s="8" t="s">
        <v>170</v>
      </c>
      <c r="AC1" s="8" t="s">
        <v>171</v>
      </c>
      <c r="AD1" s="14" t="s">
        <v>136</v>
      </c>
      <c r="AE1" s="14" t="s">
        <v>172</v>
      </c>
    </row>
    <row r="2" ht="28.8" customHeight="1" spans="1:31">
      <c r="A2" s="9">
        <v>2021</v>
      </c>
      <c r="B2" s="10" t="s">
        <v>173</v>
      </c>
      <c r="C2" s="10" t="s">
        <v>174</v>
      </c>
      <c r="D2" s="10" t="s">
        <v>0</v>
      </c>
      <c r="E2" s="10" t="s">
        <v>175</v>
      </c>
      <c r="F2" s="11">
        <f>ОПиУ!B7</f>
        <v>324906724</v>
      </c>
      <c r="G2" s="11">
        <f>ОПиУ!B25</f>
        <v>43615073</v>
      </c>
      <c r="H2" s="11">
        <f>ОПиУ!B31</f>
        <v>15485568</v>
      </c>
      <c r="I2" s="11">
        <f>Баланс!B19</f>
        <v>475926936</v>
      </c>
      <c r="J2" s="11">
        <f>Баланс!B43</f>
        <v>448302964</v>
      </c>
      <c r="K2" s="11">
        <f>Баланс!B29</f>
        <v>27623972</v>
      </c>
      <c r="L2" s="11">
        <f>Баланс!B17</f>
        <v>97740953</v>
      </c>
      <c r="M2" s="11">
        <f>Баланс!B14</f>
        <v>6103061</v>
      </c>
      <c r="N2" s="11">
        <f>Баланс!B11</f>
        <v>22261449</v>
      </c>
      <c r="O2" s="11">
        <f>Баланс!B4</f>
        <v>311845960</v>
      </c>
      <c r="P2" s="11">
        <f>Баланс!B5</f>
        <v>659790</v>
      </c>
      <c r="Q2" s="11">
        <f>Баланс!B31+Баланс!B36</f>
        <v>26895095</v>
      </c>
      <c r="R2" s="11">
        <f>Баланс!B32+Баланс!B37</f>
        <v>313872397</v>
      </c>
      <c r="S2" s="11">
        <f>Q2+R2</f>
        <v>340767492</v>
      </c>
      <c r="T2" s="12">
        <f>ОДДС!B32</f>
        <v>118067404</v>
      </c>
      <c r="U2" s="12">
        <f>ОДДС!B40</f>
        <v>-5562362</v>
      </c>
      <c r="V2" s="12">
        <f>ОДДС!B50</f>
        <v>-101243828</v>
      </c>
      <c r="W2" s="12">
        <f>ОДДС!B58</f>
        <v>13497482</v>
      </c>
      <c r="X2" s="13">
        <f>G2/F2</f>
        <v>0.134238751550122</v>
      </c>
      <c r="Y2" s="13">
        <f>H2/F2</f>
        <v>0.0476615805587329</v>
      </c>
      <c r="Z2" s="13">
        <f>H2/I2</f>
        <v>0.0325377002826333</v>
      </c>
      <c r="AA2" s="13">
        <f>H2/K2</f>
        <v>0.56058440835373</v>
      </c>
      <c r="AB2" s="13">
        <f>S2/I2</f>
        <v>0.716007996656025</v>
      </c>
      <c r="AC2" s="13">
        <f>S2/K2</f>
        <v>12.335933876562</v>
      </c>
      <c r="AD2" s="15">
        <f>T2/H2</f>
        <v>7.62435087947694</v>
      </c>
      <c r="AE2" s="12">
        <f>T2-W2</f>
        <v>104569922</v>
      </c>
    </row>
    <row r="3" ht="28.8" customHeight="1" spans="1:31">
      <c r="A3" s="9">
        <v>2022</v>
      </c>
      <c r="B3" s="10" t="s">
        <v>173</v>
      </c>
      <c r="C3" s="10" t="s">
        <v>174</v>
      </c>
      <c r="D3" s="10" t="s">
        <v>0</v>
      </c>
      <c r="E3" s="10" t="s">
        <v>175</v>
      </c>
      <c r="F3" s="11">
        <f>ОПиУ!C7</f>
        <v>477981818</v>
      </c>
      <c r="G3" s="11">
        <f>ОПиУ!C25</f>
        <v>70110474</v>
      </c>
      <c r="H3" s="11">
        <f>ОПиУ!C31</f>
        <v>37582898</v>
      </c>
      <c r="I3" s="11">
        <f>Баланс!C19</f>
        <v>578717319</v>
      </c>
      <c r="J3" s="11">
        <f>Баланс!C43</f>
        <v>508270527</v>
      </c>
      <c r="K3" s="11">
        <f>Баланс!C29</f>
        <v>70446792</v>
      </c>
      <c r="L3" s="11">
        <f>Баланс!C17</f>
        <v>116998633</v>
      </c>
      <c r="M3" s="11">
        <f>Баланс!C14</f>
        <v>9857684</v>
      </c>
      <c r="N3" s="11">
        <f>Баланс!C11</f>
        <v>22750814</v>
      </c>
      <c r="O3" s="11">
        <f>Баланс!C4</f>
        <v>378255700</v>
      </c>
      <c r="P3" s="11">
        <f>Баланс!C5</f>
        <v>718495</v>
      </c>
      <c r="Q3" s="11">
        <f>Баланс!C31+Баланс!C36</f>
        <v>5596214</v>
      </c>
      <c r="R3" s="11">
        <f>Баланс!C32+Баланс!C37</f>
        <v>339031770</v>
      </c>
      <c r="S3" s="11">
        <f>Q3+R3</f>
        <v>344627984</v>
      </c>
      <c r="T3" s="12">
        <f>ОДДС!C32</f>
        <v>163230844</v>
      </c>
      <c r="U3" s="12">
        <f>ОДДС!C40</f>
        <v>-27796835</v>
      </c>
      <c r="V3" s="12">
        <f>ОДДС!C50</f>
        <v>-119154847</v>
      </c>
      <c r="W3" s="12">
        <f>ОДДС!C58</f>
        <v>22227370</v>
      </c>
      <c r="X3" s="13">
        <f>G3/F3</f>
        <v>0.14668021117071</v>
      </c>
      <c r="Y3" s="13">
        <f>H3/F3</f>
        <v>0.0786283004597468</v>
      </c>
      <c r="Z3" s="13">
        <f>H3/I3</f>
        <v>0.0649417198450907</v>
      </c>
      <c r="AA3" s="13">
        <f>H3/K3</f>
        <v>0.533493391721798</v>
      </c>
      <c r="AB3" s="13">
        <f>S3/I3</f>
        <v>0.595503145811332</v>
      </c>
      <c r="AC3" s="13">
        <f>S3/K3</f>
        <v>4.89203232987529</v>
      </c>
      <c r="AD3" s="15">
        <f>T3/H3</f>
        <v>4.34322132369888</v>
      </c>
      <c r="AE3" s="12">
        <f>T3-W3</f>
        <v>141003474</v>
      </c>
    </row>
    <row r="4" ht="28.8" customHeight="1" spans="1:31">
      <c r="A4" s="9">
        <v>2023</v>
      </c>
      <c r="B4" s="10" t="s">
        <v>173</v>
      </c>
      <c r="C4" s="10" t="s">
        <v>174</v>
      </c>
      <c r="D4" s="10" t="s">
        <v>0</v>
      </c>
      <c r="E4" s="10" t="s">
        <v>175</v>
      </c>
      <c r="F4" s="11">
        <f>ОПиУ!D7</f>
        <v>535169502</v>
      </c>
      <c r="G4" s="11">
        <f>ОПиУ!D25</f>
        <v>61286139</v>
      </c>
      <c r="H4" s="11">
        <f>ОПиУ!D31</f>
        <v>30739074</v>
      </c>
      <c r="I4" s="11">
        <f>Баланс!D19</f>
        <v>619312543</v>
      </c>
      <c r="J4" s="11">
        <f>Баланс!D43</f>
        <v>522328078</v>
      </c>
      <c r="K4" s="11">
        <f>Баланс!D29</f>
        <v>96984465</v>
      </c>
      <c r="L4" s="11">
        <f>Баланс!D17</f>
        <v>124552167</v>
      </c>
      <c r="M4" s="11">
        <f>Баланс!D14</f>
        <v>10693524</v>
      </c>
      <c r="N4" s="11">
        <f>Баланс!D11</f>
        <v>30704619</v>
      </c>
      <c r="O4" s="11">
        <f>Баланс!D4</f>
        <v>387885139</v>
      </c>
      <c r="P4" s="11">
        <f>Баланс!D5</f>
        <v>1289132</v>
      </c>
      <c r="Q4" s="11">
        <f>Баланс!D31+Баланс!D36</f>
        <v>187279</v>
      </c>
      <c r="R4" s="11">
        <f>Баланс!D32+Баланс!D37</f>
        <v>326780002</v>
      </c>
      <c r="S4" s="11">
        <f>Q4+R4</f>
        <v>326967281</v>
      </c>
      <c r="T4" s="12">
        <f>ОДДС!D32</f>
        <v>142827723</v>
      </c>
      <c r="U4" s="12">
        <f>ОДДС!D40</f>
        <v>-20967276</v>
      </c>
      <c r="V4" s="12">
        <f>ОДДС!D50</f>
        <v>-111377266</v>
      </c>
      <c r="W4" s="12">
        <f>ОДДС!D58</f>
        <v>19035768</v>
      </c>
      <c r="X4" s="13">
        <f>G4/F4</f>
        <v>0.114517248779995</v>
      </c>
      <c r="Y4" s="13">
        <f>H4/F4</f>
        <v>0.0574380152178403</v>
      </c>
      <c r="Z4" s="13">
        <f>H4/I4</f>
        <v>0.0496341860784822</v>
      </c>
      <c r="AA4" s="13">
        <f>H4/K4</f>
        <v>0.316948430864675</v>
      </c>
      <c r="AB4" s="13">
        <f>S4/I4</f>
        <v>0.527951976260878</v>
      </c>
      <c r="AC4" s="13">
        <f>S4/K4</f>
        <v>3.37133664654437</v>
      </c>
      <c r="AD4" s="15">
        <f>T4/H4</f>
        <v>4.6464549647787</v>
      </c>
      <c r="AE4" s="12">
        <f>T4-W4</f>
        <v>123791955</v>
      </c>
    </row>
    <row r="5" ht="28.8" customHeight="1" spans="1:31">
      <c r="A5" s="9">
        <v>2024</v>
      </c>
      <c r="B5" s="10" t="s">
        <v>173</v>
      </c>
      <c r="C5" s="10" t="s">
        <v>174</v>
      </c>
      <c r="D5" s="10" t="s">
        <v>0</v>
      </c>
      <c r="E5" s="10" t="s">
        <v>175</v>
      </c>
      <c r="F5" s="11">
        <f>ОПиУ!E7</f>
        <v>616152033</v>
      </c>
      <c r="G5" s="11">
        <f>ОПиУ!E25</f>
        <v>62322547</v>
      </c>
      <c r="H5" s="11">
        <f>ОПиУ!E31</f>
        <v>25522594</v>
      </c>
      <c r="I5" s="11">
        <f>Баланс!E19</f>
        <v>952063811</v>
      </c>
      <c r="J5" s="11">
        <f>Баланс!E43</f>
        <v>744892164</v>
      </c>
      <c r="K5" s="11">
        <f>Баланс!E29</f>
        <v>207171647</v>
      </c>
      <c r="L5" s="11">
        <f>Баланс!E17</f>
        <v>256622307</v>
      </c>
      <c r="M5" s="11">
        <f>Баланс!E14</f>
        <v>10922813</v>
      </c>
      <c r="N5" s="11">
        <f>Баланс!E11</f>
        <v>34724999</v>
      </c>
      <c r="O5" s="11">
        <f>Баланс!E4</f>
        <v>558341061</v>
      </c>
      <c r="P5" s="11">
        <f>Баланс!E5</f>
        <v>3160112</v>
      </c>
      <c r="Q5" s="11">
        <f>Баланс!E31+Баланс!E36</f>
        <v>302988</v>
      </c>
      <c r="R5" s="11">
        <f>Баланс!E32+Баланс!E37</f>
        <v>466644777</v>
      </c>
      <c r="S5" s="11">
        <f>Q5+R5</f>
        <v>466947765</v>
      </c>
      <c r="T5" s="12">
        <f>ОДДС!E32</f>
        <v>173127148</v>
      </c>
      <c r="U5" s="12">
        <f>ОДДС!E40</f>
        <v>-8509373</v>
      </c>
      <c r="V5" s="12">
        <f>ОДДС!E50</f>
        <v>-62191375</v>
      </c>
      <c r="W5" s="12">
        <f>ОДДС!E58</f>
        <v>46099340</v>
      </c>
      <c r="X5" s="13">
        <f>G5/F5</f>
        <v>0.101148001892578</v>
      </c>
      <c r="Y5" s="13">
        <f>H5/F5</f>
        <v>0.0414225590975207</v>
      </c>
      <c r="Z5" s="13">
        <f>H5/I5</f>
        <v>0.0268076506061</v>
      </c>
      <c r="AA5" s="13">
        <f>H5/K5</f>
        <v>0.123195400382177</v>
      </c>
      <c r="AB5" s="13">
        <f>S5/I5</f>
        <v>0.490458475162018</v>
      </c>
      <c r="AC5" s="13">
        <f>S5/K5</f>
        <v>2.25391732778955</v>
      </c>
      <c r="AD5" s="15">
        <f>T5/H5</f>
        <v>6.78328966091769</v>
      </c>
      <c r="AE5" s="12">
        <f>T5-W5</f>
        <v>127027808</v>
      </c>
    </row>
    <row r="6" ht="28.8" customHeight="1" spans="1:31">
      <c r="A6" s="9">
        <v>2025</v>
      </c>
      <c r="B6" s="10" t="s">
        <v>173</v>
      </c>
      <c r="C6" s="10" t="s">
        <v>174</v>
      </c>
      <c r="D6" s="10" t="s">
        <v>0</v>
      </c>
      <c r="E6" s="10" t="s">
        <v>175</v>
      </c>
      <c r="F6" s="11">
        <f>ОПиУ!F7</f>
        <v>758966733</v>
      </c>
      <c r="G6" s="11">
        <f>ОПиУ!F25</f>
        <v>45849081</v>
      </c>
      <c r="H6" s="11">
        <f>ОПиУ!F31</f>
        <v>7022862</v>
      </c>
      <c r="I6" s="11">
        <f>Баланс!F19</f>
        <v>1039663393</v>
      </c>
      <c r="J6" s="11">
        <f>Баланс!F43</f>
        <v>852964087</v>
      </c>
      <c r="K6" s="11">
        <f>Баланс!F29</f>
        <v>186699306</v>
      </c>
      <c r="L6" s="11">
        <f>Баланс!F17</f>
        <v>239053004</v>
      </c>
      <c r="M6" s="11">
        <f>Баланс!F14</f>
        <v>13142263</v>
      </c>
      <c r="N6" s="11">
        <f>Баланс!F11</f>
        <v>43686386</v>
      </c>
      <c r="O6" s="11">
        <f>Баланс!F4</f>
        <v>604500136</v>
      </c>
      <c r="P6" s="11">
        <f>Баланс!F5</f>
        <v>3286956</v>
      </c>
      <c r="Q6" s="11">
        <f>Баланс!F31+Баланс!F36</f>
        <v>2826923</v>
      </c>
      <c r="R6" s="11">
        <f>Баланс!F32+Баланс!F37</f>
        <v>527958850</v>
      </c>
      <c r="S6" s="11">
        <f>Q6+R6</f>
        <v>530785773</v>
      </c>
      <c r="T6" s="12">
        <f>ОДДС!F32</f>
        <v>127590876</v>
      </c>
      <c r="U6" s="12">
        <f>ОДДС!F40</f>
        <v>17598903</v>
      </c>
      <c r="V6" s="12">
        <f>ОДДС!F50</f>
        <v>-152510081</v>
      </c>
      <c r="W6" s="12">
        <f>ОДДС!F58</f>
        <v>28152607</v>
      </c>
      <c r="X6" s="13">
        <f>G6/F6</f>
        <v>0.0604098691108244</v>
      </c>
      <c r="Y6" s="13">
        <f>H6/F6</f>
        <v>0.00925318817629916</v>
      </c>
      <c r="Z6" s="13">
        <f>H6/I6</f>
        <v>0.00675493823028162</v>
      </c>
      <c r="AA6" s="13">
        <f>H6/K6</f>
        <v>0.0376158977259401</v>
      </c>
      <c r="AB6" s="13">
        <f>S6/I6</f>
        <v>0.510536176010191</v>
      </c>
      <c r="AC6" s="13">
        <f>S6/K6</f>
        <v>2.84299810412793</v>
      </c>
      <c r="AD6" s="15">
        <f>T6/H6</f>
        <v>18.1679315356047</v>
      </c>
      <c r="AE6" s="12">
        <f>T6-W6</f>
        <v>99438269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C11" sqref="C11"/>
    </sheetView>
  </sheetViews>
  <sheetFormatPr defaultColWidth="9" defaultRowHeight="14.4" outlineLevelRow="5" outlineLevelCol="5"/>
  <cols>
    <col min="1" max="1" width="34.712962962963" customWidth="1"/>
    <col min="2" max="6" width="18.712962962963" customWidth="1"/>
  </cols>
  <sheetData>
    <row r="1" spans="1:6">
      <c r="A1" s="3" t="s">
        <v>176</v>
      </c>
      <c r="B1" s="4">
        <v>2021</v>
      </c>
      <c r="C1" s="4">
        <v>2022</v>
      </c>
      <c r="D1" s="4">
        <v>2023</v>
      </c>
      <c r="E1" s="4">
        <v>2024</v>
      </c>
      <c r="F1" s="4">
        <v>2025</v>
      </c>
    </row>
    <row r="2" spans="1:6">
      <c r="A2" s="5" t="s">
        <v>177</v>
      </c>
      <c r="B2" s="6">
        <f>Инпут!I2-Инпут!J2-Инпут!K2</f>
        <v>0</v>
      </c>
      <c r="C2" s="6">
        <f>Инпут!I3-Инпут!J3-Инпут!K3</f>
        <v>0</v>
      </c>
      <c r="D2" s="6">
        <f>Инпут!I4-Инпут!J4-Инпут!K4</f>
        <v>0</v>
      </c>
      <c r="E2" s="6">
        <f>Инпут!I5-Инпут!J5-Инпут!K5</f>
        <v>0</v>
      </c>
      <c r="F2" s="6">
        <f>Инпут!I6-Инпут!J6-Инпут!K6</f>
        <v>0</v>
      </c>
    </row>
    <row r="3" spans="1:6">
      <c r="A3" s="5" t="s">
        <v>150</v>
      </c>
      <c r="B3" s="6" t="str">
        <f>Инпут!C2</f>
        <v>KZT</v>
      </c>
      <c r="C3" s="6" t="str">
        <f>Инпут!C3</f>
        <v>KZT</v>
      </c>
      <c r="D3" s="6" t="str">
        <f>Инпут!C4</f>
        <v>KZT</v>
      </c>
      <c r="E3" s="6" t="str">
        <f>Инпут!C5</f>
        <v>KZT</v>
      </c>
      <c r="F3" s="6" t="str">
        <f>Инпут!C6</f>
        <v>KZT</v>
      </c>
    </row>
    <row r="4" spans="1:6">
      <c r="A4" s="5" t="s">
        <v>151</v>
      </c>
      <c r="B4" s="6" t="str">
        <f>Инпут!D2</f>
        <v>тыс. тенге</v>
      </c>
      <c r="C4" s="6" t="str">
        <f>Инпут!D3</f>
        <v>тыс. тенге</v>
      </c>
      <c r="D4" s="6" t="str">
        <f>Инпут!D4</f>
        <v>тыс. тенге</v>
      </c>
      <c r="E4" s="6" t="str">
        <f>Инпут!D5</f>
        <v>тыс. тенге</v>
      </c>
      <c r="F4" s="6" t="str">
        <f>Инпут!D6</f>
        <v>тыс. тенге</v>
      </c>
    </row>
    <row r="5" spans="1:6">
      <c r="A5" s="5" t="s">
        <v>164</v>
      </c>
      <c r="B5" s="7">
        <f>Инпут!T2</f>
        <v>118067404</v>
      </c>
      <c r="C5" s="7">
        <f>Инпут!T3</f>
        <v>163230844</v>
      </c>
      <c r="D5" s="7">
        <f>Инпут!T4</f>
        <v>142827723</v>
      </c>
      <c r="E5" s="7">
        <f>Инпут!T5</f>
        <v>173127148</v>
      </c>
      <c r="F5" s="7">
        <f>Инпут!T6</f>
        <v>127590876</v>
      </c>
    </row>
    <row r="6" spans="1:6">
      <c r="A6" s="5" t="s">
        <v>172</v>
      </c>
      <c r="B6" s="7">
        <f>Инпут!T2-Инпут!W2</f>
        <v>104569922</v>
      </c>
      <c r="C6" s="7">
        <f>Инпут!T3-Инпут!W3</f>
        <v>141003474</v>
      </c>
      <c r="D6" s="7">
        <f>Инпут!T4-Инпут!W4</f>
        <v>123791955</v>
      </c>
      <c r="E6" s="7">
        <f>Инпут!T5-Инпут!W5</f>
        <v>127027808</v>
      </c>
      <c r="F6" s="7">
        <f>Инпут!T6-Инпут!W6</f>
        <v>99438269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B10" sqref="B10"/>
    </sheetView>
  </sheetViews>
  <sheetFormatPr defaultColWidth="9" defaultRowHeight="14.4" outlineLevelRow="7" outlineLevelCol="2"/>
  <cols>
    <col min="1" max="1" width="16.712962962963" customWidth="1"/>
    <col min="2" max="2" width="44.712962962963" customWidth="1"/>
    <col min="3" max="3" width="100.712962962963" customWidth="1"/>
  </cols>
  <sheetData>
    <row r="1" spans="1:3">
      <c r="A1" s="1" t="s">
        <v>148</v>
      </c>
      <c r="B1" s="1" t="s">
        <v>178</v>
      </c>
      <c r="C1" s="1" t="s">
        <v>179</v>
      </c>
    </row>
    <row r="2" spans="1:3">
      <c r="A2" s="2" t="s">
        <v>180</v>
      </c>
      <c r="B2" s="2" t="s">
        <v>181</v>
      </c>
      <c r="C2" s="2" t="s">
        <v>182</v>
      </c>
    </row>
    <row r="3" spans="1:3">
      <c r="A3" s="2" t="s">
        <v>183</v>
      </c>
      <c r="B3" s="2" t="s">
        <v>184</v>
      </c>
      <c r="C3" s="2" t="s">
        <v>185</v>
      </c>
    </row>
    <row r="4" spans="1:3">
      <c r="A4" s="2" t="s">
        <v>186</v>
      </c>
      <c r="B4" s="2" t="s">
        <v>187</v>
      </c>
      <c r="C4" s="2" t="s">
        <v>188</v>
      </c>
    </row>
    <row r="5" spans="1:3">
      <c r="A5" s="2" t="s">
        <v>189</v>
      </c>
      <c r="B5" s="2" t="s">
        <v>190</v>
      </c>
      <c r="C5" s="2" t="s">
        <v>191</v>
      </c>
    </row>
    <row r="6" spans="1:3">
      <c r="A6" s="2" t="s">
        <v>192</v>
      </c>
      <c r="B6" s="2" t="s">
        <v>190</v>
      </c>
      <c r="C6" s="2" t="s">
        <v>193</v>
      </c>
    </row>
    <row r="7" spans="1:3">
      <c r="A7" s="2" t="s">
        <v>194</v>
      </c>
      <c r="B7" s="2" t="s">
        <v>190</v>
      </c>
      <c r="C7" s="2" t="s">
        <v>195</v>
      </c>
    </row>
    <row r="8" spans="1:3">
      <c r="A8" s="2" t="s">
        <v>196</v>
      </c>
      <c r="B8" s="2" t="s">
        <v>190</v>
      </c>
      <c r="C8" s="2" t="s">
        <v>197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Баланс</vt:lpstr>
      <vt:lpstr>ОПиУ</vt:lpstr>
      <vt:lpstr>ОДДС</vt:lpstr>
      <vt:lpstr>Коэффициенты</vt:lpstr>
      <vt:lpstr>Инпут</vt:lpstr>
      <vt:lpstr>Проверки</vt:lpstr>
      <vt:lpstr>Источники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Малинур Сайдика�</cp:lastModifiedBy>
  <dcterms:created xsi:type="dcterms:W3CDTF">2026-06-18T08:29:00Z</dcterms:created>
  <dcterms:modified xsi:type="dcterms:W3CDTF">2026-06-18T09:18:00Z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C64B9A39F71B4F2FBA9626BFDB57288E_13</vt:lpwstr>
  </property>
  <property fmtid="{D5CDD505-2E9C-101B-9397-08002B2CF9AE}" pid="3" name="KSOProductBuildVer">
    <vt:lpwstr>1049-12.2.0.23197</vt:lpwstr>
  </property>
</Properties>
</file>