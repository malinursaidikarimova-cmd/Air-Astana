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Input_Complete" sheetId="1" state="visible" r:id="rId1"/>
    <sheet xmlns:r="http://schemas.openxmlformats.org/officeDocument/2006/relationships" name="Checks_Complete" sheetId="2" state="visible" r:id="rId2"/>
    <sheet xmlns:r="http://schemas.openxmlformats.org/officeDocument/2006/relationships" name="Баланс" sheetId="3" state="visible" r:id="rId3"/>
    <sheet xmlns:r="http://schemas.openxmlformats.org/officeDocument/2006/relationships" name="ОПиУ" sheetId="4" state="visible" r:id="rId4"/>
    <sheet xmlns:r="http://schemas.openxmlformats.org/officeDocument/2006/relationships" name="ОДДС" sheetId="5" state="visible" r:id="rId5"/>
    <sheet xmlns:r="http://schemas.openxmlformats.org/officeDocument/2006/relationships" name="Коэффициенты" sheetId="6" state="visible" r:id="rId6"/>
    <sheet xmlns:r="http://schemas.openxmlformats.org/officeDocument/2006/relationships" name="Инпут" sheetId="7" state="visible" r:id="rId7"/>
    <sheet xmlns:r="http://schemas.openxmlformats.org/officeDocument/2006/relationships" name="Проверки" sheetId="8" state="visible" r:id="rId8"/>
    <sheet xmlns:r="http://schemas.openxmlformats.org/officeDocument/2006/relationships" name="Источники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Limitations" sheetId="11" state="visible" r:id="rId11"/>
  </sheets>
  <definedNames>
    <definedName name="_xlnm._FilterDatabase" localSheetId="0" hidden="1">'Input_Complete'!$A$1:$BM$6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\ ##0"/>
    <numFmt numFmtId="165" formatCode="_-* #\.##0.00_-;\-* #\.##0.00_-;_-* &quot;-&quot;??_-;_-@_-"/>
    <numFmt numFmtId="166" formatCode="_-* #\.##0.00\ &quot;₽&quot;_-;\-* #\.##0.00\ &quot;₽&quot;_-;_-* \-??\ &quot;₽&quot;_-;_-@_-"/>
    <numFmt numFmtId="167" formatCode="_-* #\.##0_-;\-* #\.##0_-;_-* &quot;-&quot;_-;_-@_-"/>
    <numFmt numFmtId="168" formatCode="_-* #\.##0\ &quot;₽&quot;_-;\-* #\.##0\ &quot;₽&quot;_-;_-* \-\ &quot;₽&quot;_-;_-@_-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FFFFFF"/>
    </font>
  </fonts>
  <fills count="35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2">
      <alignment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wrapText="1"/>
    </xf>
    <xf numFmtId="2" fontId="0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center"/>
    </xf>
    <xf numFmtId="2" fontId="2" fillId="0" borderId="0" applyAlignment="1" pivotButton="0" quotePrefix="0" xfId="0">
      <alignment horizontal="right" vertical="center"/>
    </xf>
    <xf numFmtId="0" fontId="22" fillId="34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top" wrapText="1"/>
    </xf>
    <xf numFmtId="3" fontId="0" fillId="0" borderId="10" applyAlignment="1" pivotButton="0" quotePrefix="0" xfId="0">
      <alignment vertical="top" wrapText="1"/>
    </xf>
    <xf numFmtId="2" fontId="0" fillId="0" borderId="10" applyAlignment="1" pivotButton="0" quotePrefix="0" xfId="0">
      <alignment vertical="top" wrapText="1"/>
    </xf>
    <xf numFmtId="10" fontId="0" fillId="0" borderId="10" applyAlignment="1" pivotButton="0" quotePrefix="0" xfId="0">
      <alignment vertical="top" wrapText="1"/>
    </xf>
    <xf numFmtId="4" fontId="0" fillId="0" borderId="10" applyAlignment="1" pivotButton="0" quotePrefix="0" xfId="0">
      <alignment vertical="top" wrapText="1"/>
    </xf>
    <xf numFmtId="164" fontId="0" fillId="0" borderId="0" pivotButton="0" quotePrefix="0" xfId="0"/>
    <xf numFmtId="164" fontId="2" fillId="0" borderId="0" applyAlignment="1" pivotButton="0" quotePrefix="0" xfId="0">
      <alignment horizontal="right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InputCompleteTable" displayName="InputCompleteTable" ref="A1:BM6" headerRowCount="1">
  <autoFilter ref="A1:BM6"/>
  <tableColumns count="65">
    <tableColumn id="1" name="Год"/>
    <tableColumn id="2" name="Компания"/>
    <tableColumn id="3" name="Период анализа"/>
    <tableColumn id="4" name="Валюта"/>
    <tableColumn id="5" name="Масштаб"/>
    <tableColumn id="6" name="Тип данных"/>
    <tableColumn id="7" name="Основной источник"/>
    <tableColumn id="8" name="Источник notes / MD&amp;A"/>
    <tableColumn id="9" name="Ограничение / комментарий"/>
    <tableColumn id="10" name="Выручка всего"/>
    <tableColumn id="11" name="Себестоимость / прямые операционные расходы"/>
    <tableColumn id="12" name="Валовая прибыль расчетная"/>
    <tableColumn id="13" name="Операционные расходы всего"/>
    <tableColumn id="14" name="Операционная прибыль"/>
    <tableColumn id="15" name="Финансовые доходы"/>
    <tableColumn id="16" name="Финансовые расходы"/>
    <tableColumn id="17" name="Курсовая разница, нетто"/>
    <tableColumn id="18" name="Налог на прибыль"/>
    <tableColumn id="19" name="Чистая прибыль"/>
    <tableColumn id="20" name="Активы всего"/>
    <tableColumn id="21" name="Денежные средства"/>
    <tableColumn id="22" name="Дебиторская задолженность"/>
    <tableColumn id="23" name="Запасы"/>
    <tableColumn id="24" name="Основные средства"/>
    <tableColumn id="25" name="Нематериальные активы"/>
    <tableColumn id="26" name="Обязательства всего"/>
    <tableColumn id="27" name="Займы долгосрочные"/>
    <tableColumn id="28" name="Займы краткосрочные"/>
    <tableColumn id="29" name="Займы всего"/>
    <tableColumn id="30" name="Обязательства по аренде долгосрочные"/>
    <tableColumn id="31" name="Обязательства по аренде краткосрочные"/>
    <tableColumn id="32" name="Обязательства по аренде всего"/>
    <tableColumn id="33" name="Итого долг"/>
    <tableColumn id="34" name="Чистый долг"/>
    <tableColumn id="35" name="Капитал"/>
    <tableColumn id="36" name="CFO"/>
    <tableColumn id="37" name="CFI"/>
    <tableColumn id="38" name="CFF"/>
    <tableColumn id="39" name="Capex"/>
    <tableColumn id="40" name="Дивиденды выплаченные"/>
    <tableColumn id="41" name="Амортизация"/>
    <tableColumn id="42" name="FCF"/>
    <tableColumn id="43" name="CFO / чистая прибыль"/>
    <tableColumn id="44" name="Операционная маржа"/>
    <tableColumn id="45" name="Расчетная валовая маржа"/>
    <tableColumn id="46" name="Чистая маржа"/>
    <tableColumn id="47" name="ROA"/>
    <tableColumn id="48" name="ROE"/>
    <tableColumn id="49" name="Debt / Assets"/>
    <tableColumn id="50" name="Debt / Equity"/>
    <tableColumn id="51" name="Current ratio"/>
    <tableColumn id="52" name="Quick ratio"/>
    <tableColumn id="53" name="Cash ratio"/>
    <tableColumn id="54" name="Interest coverage"/>
    <tableColumn id="55" name="Asset turnover"/>
    <tableColumn id="56" name="Receivables turnover"/>
    <tableColumn id="57" name="Inventory turnover"/>
    <tableColumn id="58" name="DSO, дней"/>
    <tableColumn id="59" name="DIO, дней"/>
    <tableColumn id="60" name="CFO / Capex"/>
    <tableColumn id="61" name="Fuel costs / revenue"/>
    <tableColumn id="62" name="Lease liabilities / assets"/>
    <tableColumn id="63" name="Operating expenses / revenue"/>
    <tableColumn id="64" name="Пассажирская выручка / общая выручка"/>
    <tableColumn id="65" name="Capex / reven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8" customWidth="1" min="7" max="7"/>
    <col width="38" customWidth="1" min="8" max="8"/>
    <col width="3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</cols>
  <sheetData>
    <row r="1">
      <c r="A1" s="25" t="inlineStr">
        <is>
          <t>Год</t>
        </is>
      </c>
      <c r="B1" s="25" t="inlineStr">
        <is>
          <t>Компания</t>
        </is>
      </c>
      <c r="C1" s="25" t="inlineStr">
        <is>
          <t>Период анализа</t>
        </is>
      </c>
      <c r="D1" s="25" t="inlineStr">
        <is>
          <t>Валюта</t>
        </is>
      </c>
      <c r="E1" s="25" t="inlineStr">
        <is>
          <t>Масштаб</t>
        </is>
      </c>
      <c r="F1" s="25" t="inlineStr">
        <is>
          <t>Тип данных</t>
        </is>
      </c>
      <c r="G1" s="25" t="inlineStr">
        <is>
          <t>Основной источник</t>
        </is>
      </c>
      <c r="H1" s="25" t="inlineStr">
        <is>
          <t>Источник notes / MD&amp;A</t>
        </is>
      </c>
      <c r="I1" s="25" t="inlineStr">
        <is>
          <t>Ограничение / комментарий</t>
        </is>
      </c>
      <c r="J1" s="25" t="inlineStr">
        <is>
          <t>Выручка всего</t>
        </is>
      </c>
      <c r="K1" s="25" t="inlineStr">
        <is>
          <t>Себестоимость / прямые операционные расходы</t>
        </is>
      </c>
      <c r="L1" s="25" t="inlineStr">
        <is>
          <t>Валовая прибыль расчетная</t>
        </is>
      </c>
      <c r="M1" s="25" t="inlineStr">
        <is>
          <t>Операционные расходы всего</t>
        </is>
      </c>
      <c r="N1" s="25" t="inlineStr">
        <is>
          <t>Операционная прибыль</t>
        </is>
      </c>
      <c r="O1" s="25" t="inlineStr">
        <is>
          <t>Финансовые доходы</t>
        </is>
      </c>
      <c r="P1" s="25" t="inlineStr">
        <is>
          <t>Финансовые расходы</t>
        </is>
      </c>
      <c r="Q1" s="25" t="inlineStr">
        <is>
          <t>Курсовая разница, нетто</t>
        </is>
      </c>
      <c r="R1" s="25" t="inlineStr">
        <is>
          <t>Налог на прибыль</t>
        </is>
      </c>
      <c r="S1" s="25" t="inlineStr">
        <is>
          <t>Чистая прибыль</t>
        </is>
      </c>
      <c r="T1" s="25" t="inlineStr">
        <is>
          <t>Активы всего</t>
        </is>
      </c>
      <c r="U1" s="25" t="inlineStr">
        <is>
          <t>Денежные средства</t>
        </is>
      </c>
      <c r="V1" s="25" t="inlineStr">
        <is>
          <t>Дебиторская задолженность</t>
        </is>
      </c>
      <c r="W1" s="25" t="inlineStr">
        <is>
          <t>Запасы</t>
        </is>
      </c>
      <c r="X1" s="25" t="inlineStr">
        <is>
          <t>Основные средства</t>
        </is>
      </c>
      <c r="Y1" s="25" t="inlineStr">
        <is>
          <t>Нематериальные активы</t>
        </is>
      </c>
      <c r="Z1" s="25" t="inlineStr">
        <is>
          <t>Обязательства всего</t>
        </is>
      </c>
      <c r="AA1" s="25" t="inlineStr">
        <is>
          <t>Займы долгосрочные</t>
        </is>
      </c>
      <c r="AB1" s="25" t="inlineStr">
        <is>
          <t>Займы краткосрочные</t>
        </is>
      </c>
      <c r="AC1" s="25" t="inlineStr">
        <is>
          <t>Займы всего</t>
        </is>
      </c>
      <c r="AD1" s="25" t="inlineStr">
        <is>
          <t>Обязательства по аренде долгосрочные</t>
        </is>
      </c>
      <c r="AE1" s="25" t="inlineStr">
        <is>
          <t>Обязательства по аренде краткосрочные</t>
        </is>
      </c>
      <c r="AF1" s="25" t="inlineStr">
        <is>
          <t>Обязательства по аренде всего</t>
        </is>
      </c>
      <c r="AG1" s="25" t="inlineStr">
        <is>
          <t>Итого долг</t>
        </is>
      </c>
      <c r="AH1" s="25" t="inlineStr">
        <is>
          <t>Чистый долг</t>
        </is>
      </c>
      <c r="AI1" s="25" t="inlineStr">
        <is>
          <t>Капитал</t>
        </is>
      </c>
      <c r="AJ1" s="25" t="inlineStr">
        <is>
          <t>CFO</t>
        </is>
      </c>
      <c r="AK1" s="25" t="inlineStr">
        <is>
          <t>CFI</t>
        </is>
      </c>
      <c r="AL1" s="25" t="inlineStr">
        <is>
          <t>CFF</t>
        </is>
      </c>
      <c r="AM1" s="25" t="inlineStr">
        <is>
          <t>Capex</t>
        </is>
      </c>
      <c r="AN1" s="25" t="inlineStr">
        <is>
          <t>Дивиденды выплаченные</t>
        </is>
      </c>
      <c r="AO1" s="25" t="inlineStr">
        <is>
          <t>Амортизация</t>
        </is>
      </c>
      <c r="AP1" s="25" t="inlineStr">
        <is>
          <t>FCF</t>
        </is>
      </c>
      <c r="AQ1" s="25" t="inlineStr">
        <is>
          <t>CFO / чистая прибыль</t>
        </is>
      </c>
      <c r="AR1" s="25" t="inlineStr">
        <is>
          <t>Операционная маржа</t>
        </is>
      </c>
      <c r="AS1" s="25" t="inlineStr">
        <is>
          <t>Расчетная валовая маржа</t>
        </is>
      </c>
      <c r="AT1" s="25" t="inlineStr">
        <is>
          <t>Чистая маржа</t>
        </is>
      </c>
      <c r="AU1" s="25" t="inlineStr">
        <is>
          <t>ROA</t>
        </is>
      </c>
      <c r="AV1" s="25" t="inlineStr">
        <is>
          <t>ROE</t>
        </is>
      </c>
      <c r="AW1" s="25" t="inlineStr">
        <is>
          <t>Debt / Assets</t>
        </is>
      </c>
      <c r="AX1" s="25" t="inlineStr">
        <is>
          <t>Debt / Equity</t>
        </is>
      </c>
      <c r="AY1" s="25" t="inlineStr">
        <is>
          <t>Current ratio</t>
        </is>
      </c>
      <c r="AZ1" s="25" t="inlineStr">
        <is>
          <t>Quick ratio</t>
        </is>
      </c>
      <c r="BA1" s="25" t="inlineStr">
        <is>
          <t>Cash ratio</t>
        </is>
      </c>
      <c r="BB1" s="25" t="inlineStr">
        <is>
          <t>Interest coverage</t>
        </is>
      </c>
      <c r="BC1" s="25" t="inlineStr">
        <is>
          <t>Asset turnover</t>
        </is>
      </c>
      <c r="BD1" s="25" t="inlineStr">
        <is>
          <t>Receivables turnover</t>
        </is>
      </c>
      <c r="BE1" s="25" t="inlineStr">
        <is>
          <t>Inventory turnover</t>
        </is>
      </c>
      <c r="BF1" s="25" t="inlineStr">
        <is>
          <t>DSO, дней</t>
        </is>
      </c>
      <c r="BG1" s="25" t="inlineStr">
        <is>
          <t>DIO, дней</t>
        </is>
      </c>
      <c r="BH1" s="25" t="inlineStr">
        <is>
          <t>CFO / Capex</t>
        </is>
      </c>
      <c r="BI1" s="25" t="inlineStr">
        <is>
          <t>Fuel costs / revenue</t>
        </is>
      </c>
      <c r="BJ1" s="25" t="inlineStr">
        <is>
          <t>Lease liabilities / assets</t>
        </is>
      </c>
      <c r="BK1" s="25" t="inlineStr">
        <is>
          <t>Operating expenses / revenue</t>
        </is>
      </c>
      <c r="BL1" s="25" t="inlineStr">
        <is>
          <t>Пассажирская выручка / общая выручка</t>
        </is>
      </c>
      <c r="BM1" s="25" t="inlineStr">
        <is>
          <t>Capex / revenue</t>
        </is>
      </c>
    </row>
    <row r="2">
      <c r="A2" s="26" t="n">
        <v>2021</v>
      </c>
      <c r="B2" s="26" t="inlineStr">
        <is>
          <t>Air Astana</t>
        </is>
      </c>
      <c r="C2" s="26" t="inlineStr">
        <is>
          <t>2021-2025</t>
        </is>
      </c>
      <c r="D2" s="26" t="inlineStr">
        <is>
          <t>KZT</t>
        </is>
      </c>
      <c r="E2" s="26" t="inlineStr">
        <is>
          <t>тыс. тенге</t>
        </is>
      </c>
      <c r="F2" s="26" t="inlineStr">
        <is>
          <t>Фактические исторические данные</t>
        </is>
      </c>
      <c r="G2" s="26" t="inlineStr">
        <is>
          <t>Годовая финансовая отчетность Air Astana 2021; Баланс, ОПиУ, ОДДС</t>
        </is>
      </c>
      <c r="H2" s="26" t="inlineStr">
        <is>
          <t>Notes/MD&amp;A из годового отчета соответствующего года; см. лист Источники</t>
        </is>
      </c>
      <c r="I2" s="26" t="inlineStr">
        <is>
          <t>Air Astana не раскрывает классическую себестоимость отдельной строкой; для Input использована расчетная себестоимость как сумма основных прямых операционных расходов: топливо, персонал/экипаж, техническое обслуживание, аэропортовое обслуживание и обслуживание пассажиров.</t>
        </is>
      </c>
      <c r="J2" s="27" t="n">
        <v>324906724</v>
      </c>
      <c r="K2" s="27" t="n">
        <v>-204035110</v>
      </c>
      <c r="L2" s="27" t="n">
        <v>120871614</v>
      </c>
      <c r="M2" s="27" t="n">
        <v>-281291651</v>
      </c>
      <c r="N2" s="27" t="n">
        <v>43615073</v>
      </c>
      <c r="O2" s="27" t="n">
        <v>1026620</v>
      </c>
      <c r="P2" s="27" t="n">
        <v>-20040053</v>
      </c>
      <c r="Q2" s="27" t="n">
        <v>-5330611</v>
      </c>
      <c r="R2" s="27" t="n">
        <v>-3785461</v>
      </c>
      <c r="S2" s="27" t="n">
        <v>15485568</v>
      </c>
      <c r="T2" s="27" t="n">
        <v>475926936</v>
      </c>
      <c r="U2" s="27" t="n">
        <v>97740953</v>
      </c>
      <c r="V2" s="27" t="n">
        <v>6103061</v>
      </c>
      <c r="W2" s="27" t="n">
        <v>22261449</v>
      </c>
      <c r="X2" s="27" t="n">
        <v>311845960</v>
      </c>
      <c r="Y2" s="27" t="n">
        <v>659790</v>
      </c>
      <c r="Z2" s="27" t="n">
        <v>448302964</v>
      </c>
      <c r="AA2" s="27" t="n">
        <v>2054936</v>
      </c>
      <c r="AB2" s="27" t="n">
        <v>24840159</v>
      </c>
      <c r="AC2" s="27" t="n">
        <v>26895095</v>
      </c>
      <c r="AD2" s="27" t="n">
        <v>250676740</v>
      </c>
      <c r="AE2" s="27" t="n">
        <v>63195657</v>
      </c>
      <c r="AF2" s="27" t="n">
        <v>313872397</v>
      </c>
      <c r="AG2" s="27" t="n">
        <v>340767492</v>
      </c>
      <c r="AH2" s="27" t="n">
        <v>243026539</v>
      </c>
      <c r="AI2" s="27" t="n">
        <v>27623972</v>
      </c>
      <c r="AJ2" s="27" t="n">
        <v>118067404</v>
      </c>
      <c r="AK2" s="27" t="n">
        <v>-5562362</v>
      </c>
      <c r="AL2" s="27" t="n">
        <v>-101243828</v>
      </c>
      <c r="AM2" s="27" t="n">
        <v>13497482</v>
      </c>
      <c r="AN2" s="27" t="n">
        <v>0</v>
      </c>
      <c r="AO2" s="27" t="n">
        <v>51484170</v>
      </c>
      <c r="AP2" s="27" t="n">
        <v>104569922</v>
      </c>
      <c r="AQ2" s="28" t="n">
        <v>7.624350879476943</v>
      </c>
      <c r="AR2" s="29" t="n">
        <v>0.1342387515501218</v>
      </c>
      <c r="AS2" s="29" t="n">
        <v>0.3720194291823889</v>
      </c>
      <c r="AT2" s="29" t="n">
        <v>0.04766158055873291</v>
      </c>
      <c r="AU2" s="29" t="n">
        <v>0.0325377002826333</v>
      </c>
      <c r="AV2" s="29" t="n">
        <v>0.5605844083537299</v>
      </c>
      <c r="AW2" s="29" t="n">
        <v>0.7160079966560245</v>
      </c>
      <c r="AX2" s="29" t="n">
        <v>12.335933876562</v>
      </c>
      <c r="AY2" s="28" t="n">
        <v>0.9260771781715629</v>
      </c>
      <c r="AZ2" s="28" t="n">
        <v>0.6837024410987497</v>
      </c>
      <c r="BA2" s="28" t="n">
        <v>0.6406644008332419</v>
      </c>
      <c r="BB2" s="28" t="n">
        <v>2.176395092368269</v>
      </c>
      <c r="BC2" s="28" t="n">
        <v>0.6826819400698935</v>
      </c>
      <c r="BD2" s="28" t="n">
        <v>53.23668303495574</v>
      </c>
      <c r="BE2" s="28" t="n">
        <v>14.59503934357552</v>
      </c>
      <c r="BF2" s="28" t="n">
        <v>6.856174712469171</v>
      </c>
      <c r="BG2" s="28" t="n">
        <v>39.82367978236687</v>
      </c>
      <c r="BH2" s="28" t="n">
        <v>8.747365175223052</v>
      </c>
      <c r="BI2" s="29" t="n">
        <v>0.1793718248810388</v>
      </c>
      <c r="BJ2" s="29" t="n">
        <v>0.6594970220386938</v>
      </c>
      <c r="BK2" s="29" t="n">
        <v>0.8657612484498782</v>
      </c>
      <c r="BL2" s="29" t="n">
        <v>0.9395085310699818</v>
      </c>
      <c r="BM2" s="29" t="n">
        <v>0.04154263671071332</v>
      </c>
    </row>
    <row r="3">
      <c r="A3" s="26" t="n">
        <v>2022</v>
      </c>
      <c r="B3" s="26" t="inlineStr">
        <is>
          <t>Air Astana</t>
        </is>
      </c>
      <c r="C3" s="26" t="inlineStr">
        <is>
          <t>2021-2025</t>
        </is>
      </c>
      <c r="D3" s="26" t="inlineStr">
        <is>
          <t>KZT</t>
        </is>
      </c>
      <c r="E3" s="26" t="inlineStr">
        <is>
          <t>тыс. тенге</t>
        </is>
      </c>
      <c r="F3" s="26" t="inlineStr">
        <is>
          <t>Фактические исторические данные</t>
        </is>
      </c>
      <c r="G3" s="26" t="inlineStr">
        <is>
          <t>Годовая финансовая отчетность Air Astana 2022; Баланс, ОПиУ, ОДДС</t>
        </is>
      </c>
      <c r="H3" s="26" t="inlineStr">
        <is>
          <t>Notes/MD&amp;A из годового отчета соответствующего года; см. лист Источники</t>
        </is>
      </c>
      <c r="I3" s="26" t="inlineStr">
        <is>
          <t>Air Astana не раскрывает классическую себестоимость отдельной строкой; для Input использована расчетная себестоимость как сумма основных прямых операционных расходов: топливо, персонал/экипаж, техническое обслуживание, аэропортовое обслуживание и обслуживание пассажиров.</t>
        </is>
      </c>
      <c r="J3" s="27" t="n">
        <v>477981818</v>
      </c>
      <c r="K3" s="27" t="n">
        <v>-310335336</v>
      </c>
      <c r="L3" s="27" t="n">
        <v>167646482</v>
      </c>
      <c r="M3" s="27" t="n">
        <v>-407871344</v>
      </c>
      <c r="N3" s="27" t="n">
        <v>70110474</v>
      </c>
      <c r="O3" s="27" t="n">
        <v>3261294</v>
      </c>
      <c r="P3" s="27" t="n">
        <v>-18073217</v>
      </c>
      <c r="Q3" s="27" t="n">
        <v>-6923638</v>
      </c>
      <c r="R3" s="27" t="n">
        <v>-10792015</v>
      </c>
      <c r="S3" s="27" t="n">
        <v>37582898</v>
      </c>
      <c r="T3" s="27" t="n">
        <v>578717319</v>
      </c>
      <c r="U3" s="27" t="n">
        <v>116998633</v>
      </c>
      <c r="V3" s="27" t="n">
        <v>9857684</v>
      </c>
      <c r="W3" s="27" t="n">
        <v>22750814</v>
      </c>
      <c r="X3" s="27" t="n">
        <v>378255700</v>
      </c>
      <c r="Y3" s="27" t="n">
        <v>718495</v>
      </c>
      <c r="Z3" s="27" t="n">
        <v>508270527</v>
      </c>
      <c r="AA3" s="27" t="n">
        <v>1925549</v>
      </c>
      <c r="AB3" s="27" t="n">
        <v>3670665</v>
      </c>
      <c r="AC3" s="27" t="n">
        <v>5596214</v>
      </c>
      <c r="AD3" s="27" t="n">
        <v>265658719</v>
      </c>
      <c r="AE3" s="27" t="n">
        <v>73373051</v>
      </c>
      <c r="AF3" s="27" t="n">
        <v>339031770</v>
      </c>
      <c r="AG3" s="27" t="n">
        <v>344627984</v>
      </c>
      <c r="AH3" s="27" t="n">
        <v>227629351</v>
      </c>
      <c r="AI3" s="27" t="n">
        <v>70446792</v>
      </c>
      <c r="AJ3" s="27" t="n">
        <v>163230844</v>
      </c>
      <c r="AK3" s="27" t="n">
        <v>-27796835</v>
      </c>
      <c r="AL3" s="27" t="n">
        <v>-119154847</v>
      </c>
      <c r="AM3" s="27" t="n">
        <v>22227370</v>
      </c>
      <c r="AN3" s="27" t="n">
        <v>0</v>
      </c>
      <c r="AO3" s="27" t="n">
        <v>62243853</v>
      </c>
      <c r="AP3" s="27" t="n">
        <v>141003474</v>
      </c>
      <c r="AQ3" s="28" t="n">
        <v>4.34322132369888</v>
      </c>
      <c r="AR3" s="29" t="n">
        <v>0.1466802111707103</v>
      </c>
      <c r="AS3" s="29" t="n">
        <v>0.3507381989998624</v>
      </c>
      <c r="AT3" s="29" t="n">
        <v>0.07862830045974678</v>
      </c>
      <c r="AU3" s="29" t="n">
        <v>0.06494171984509073</v>
      </c>
      <c r="AV3" s="29" t="n">
        <v>0.5334933917217977</v>
      </c>
      <c r="AW3" s="29" t="n">
        <v>0.5955031458113318</v>
      </c>
      <c r="AX3" s="29" t="n">
        <v>4.892032329875291</v>
      </c>
      <c r="AY3" s="28" t="n">
        <v>0.9172641636366289</v>
      </c>
      <c r="AZ3" s="28" t="n">
        <v>0.6984135354475243</v>
      </c>
      <c r="BA3" s="28" t="n">
        <v>0.636357275900136</v>
      </c>
      <c r="BB3" s="28" t="n">
        <v>3.879247064869525</v>
      </c>
      <c r="BC3" s="28" t="n">
        <v>0.8259331495831733</v>
      </c>
      <c r="BD3" s="28" t="n">
        <v>48.48824713796871</v>
      </c>
      <c r="BE3" s="28" t="n">
        <v>21.00943807988585</v>
      </c>
      <c r="BF3" s="28" t="n">
        <v>7.527597336348889</v>
      </c>
      <c r="BG3" s="28" t="n">
        <v>26.75830350817672</v>
      </c>
      <c r="BH3" s="28" t="n">
        <v>7.343686814949317</v>
      </c>
      <c r="BI3" s="29" t="n">
        <v>0.2237335416804495</v>
      </c>
      <c r="BJ3" s="29" t="n">
        <v>0.5858331155283777</v>
      </c>
      <c r="BK3" s="29" t="n">
        <v>0.8533197888292897</v>
      </c>
      <c r="BL3" s="29" t="n">
        <v>0.9669236393422814</v>
      </c>
      <c r="BM3" s="29" t="n">
        <v>0.04650254290634963</v>
      </c>
    </row>
    <row r="4">
      <c r="A4" s="26" t="n">
        <v>2023</v>
      </c>
      <c r="B4" s="26" t="inlineStr">
        <is>
          <t>Air Astana</t>
        </is>
      </c>
      <c r="C4" s="26" t="inlineStr">
        <is>
          <t>2021-2025</t>
        </is>
      </c>
      <c r="D4" s="26" t="inlineStr">
        <is>
          <t>KZT</t>
        </is>
      </c>
      <c r="E4" s="26" t="inlineStr">
        <is>
          <t>тыс. тенге</t>
        </is>
      </c>
      <c r="F4" s="26" t="inlineStr">
        <is>
          <t>Фактические исторические данные</t>
        </is>
      </c>
      <c r="G4" s="26" t="inlineStr">
        <is>
          <t>Финансовая отчетность Air Astana 2023; Баланс, ОПиУ, ОДДС</t>
        </is>
      </c>
      <c r="H4" s="26" t="inlineStr">
        <is>
          <t>Notes/MD&amp;A из годового отчета соответствующего года; см. лист Источники</t>
        </is>
      </c>
      <c r="I4" s="26" t="inlineStr">
        <is>
          <t>Air Astana не раскрывает классическую себестоимость отдельной строкой; для Input использована расчетная себестоимость как сумма основных прямых операционных расходов: топливо, персонал/экипаж, техническое обслуживание, аэропортовое обслуживание и обслуживание пассажиров.</t>
        </is>
      </c>
      <c r="J4" s="27" t="n">
        <v>535169502</v>
      </c>
      <c r="K4" s="27" t="n">
        <v>-359214052</v>
      </c>
      <c r="L4" s="27" t="n">
        <v>175955450</v>
      </c>
      <c r="M4" s="27" t="n">
        <v>-473883363</v>
      </c>
      <c r="N4" s="27" t="n">
        <v>61286139</v>
      </c>
      <c r="O4" s="27" t="n">
        <v>6757281</v>
      </c>
      <c r="P4" s="27" t="n">
        <v>-22765053</v>
      </c>
      <c r="Q4" s="27" t="n">
        <v>-6280403</v>
      </c>
      <c r="R4" s="27" t="n">
        <v>-8258890</v>
      </c>
      <c r="S4" s="27" t="n">
        <v>30739074</v>
      </c>
      <c r="T4" s="27" t="n">
        <v>619312543</v>
      </c>
      <c r="U4" s="27" t="n">
        <v>124552167</v>
      </c>
      <c r="V4" s="27" t="n">
        <v>10693524</v>
      </c>
      <c r="W4" s="27" t="n">
        <v>30704619</v>
      </c>
      <c r="X4" s="27" t="n">
        <v>387885139</v>
      </c>
      <c r="Y4" s="27" t="n">
        <v>1289132</v>
      </c>
      <c r="Z4" s="27" t="n">
        <v>522328078</v>
      </c>
      <c r="AA4" s="27" t="n">
        <v>0</v>
      </c>
      <c r="AB4" s="27" t="n">
        <v>187279</v>
      </c>
      <c r="AC4" s="27" t="n">
        <v>187279</v>
      </c>
      <c r="AD4" s="27" t="n">
        <v>247233366</v>
      </c>
      <c r="AE4" s="27" t="n">
        <v>79546636</v>
      </c>
      <c r="AF4" s="27" t="n">
        <v>326780002</v>
      </c>
      <c r="AG4" s="27" t="n">
        <v>326967281</v>
      </c>
      <c r="AH4" s="27" t="n">
        <v>202415114</v>
      </c>
      <c r="AI4" s="27" t="n">
        <v>96984465</v>
      </c>
      <c r="AJ4" s="27" t="n">
        <v>142827723</v>
      </c>
      <c r="AK4" s="27" t="n">
        <v>-20967276</v>
      </c>
      <c r="AL4" s="27" t="n">
        <v>-111377266</v>
      </c>
      <c r="AM4" s="27" t="n">
        <v>19035768</v>
      </c>
      <c r="AN4" s="27" t="n">
        <v>7644016</v>
      </c>
      <c r="AO4" s="27" t="n">
        <v>73820615</v>
      </c>
      <c r="AP4" s="27" t="n">
        <v>123791955</v>
      </c>
      <c r="AQ4" s="28" t="n">
        <v>4.646454964778704</v>
      </c>
      <c r="AR4" s="29" t="n">
        <v>0.1145172487799949</v>
      </c>
      <c r="AS4" s="29" t="n">
        <v>0.3287845240478595</v>
      </c>
      <c r="AT4" s="29" t="n">
        <v>0.05743801521784028</v>
      </c>
      <c r="AU4" s="29" t="n">
        <v>0.04963418607848218</v>
      </c>
      <c r="AV4" s="29" t="n">
        <v>0.3169484308646751</v>
      </c>
      <c r="AW4" s="29" t="n">
        <v>0.527951976260878</v>
      </c>
      <c r="AX4" s="29" t="n">
        <v>3.371336646544372</v>
      </c>
      <c r="AY4" s="28" t="n">
        <v>0.9127181110458407</v>
      </c>
      <c r="AZ4" s="28" t="n">
        <v>0.6585685163444196</v>
      </c>
      <c r="BA4" s="28" t="n">
        <v>0.6026323142835481</v>
      </c>
      <c r="BB4" s="28" t="n">
        <v>2.692114927208823</v>
      </c>
      <c r="BC4" s="28" t="n">
        <v>0.864134770155947</v>
      </c>
      <c r="BD4" s="28" t="n">
        <v>50.04613091063339</v>
      </c>
      <c r="BE4" s="28" t="n">
        <v>17.42960894580714</v>
      </c>
      <c r="BF4" s="28" t="n">
        <v>7.293271095257592</v>
      </c>
      <c r="BG4" s="28" t="n">
        <v>31.1991857573545</v>
      </c>
      <c r="BH4" s="28" t="n">
        <v>7.503123751035419</v>
      </c>
      <c r="BI4" s="29" t="n">
        <v>0.2379765093564693</v>
      </c>
      <c r="BJ4" s="29" t="n">
        <v>0.5276495780580371</v>
      </c>
      <c r="BK4" s="29" t="n">
        <v>0.8854827512200051</v>
      </c>
      <c r="BL4" s="29" t="n">
        <v>0.9736629872454877</v>
      </c>
      <c r="BM4" s="29" t="n">
        <v>0.0355696053845759</v>
      </c>
    </row>
    <row r="5">
      <c r="A5" s="26" t="n">
        <v>2024</v>
      </c>
      <c r="B5" s="26" t="inlineStr">
        <is>
          <t>Air Astana</t>
        </is>
      </c>
      <c r="C5" s="26" t="inlineStr">
        <is>
          <t>2021-2025</t>
        </is>
      </c>
      <c r="D5" s="26" t="inlineStr">
        <is>
          <t>KZT</t>
        </is>
      </c>
      <c r="E5" s="26" t="inlineStr">
        <is>
          <t>тыс. тенге</t>
        </is>
      </c>
      <c r="F5" s="26" t="inlineStr">
        <is>
          <t>Фактические исторические данные</t>
        </is>
      </c>
      <c r="G5" s="26" t="inlineStr">
        <is>
          <t>Финансовая отчетность Air Astana 2024; Баланс, ОПиУ, ОДДС</t>
        </is>
      </c>
      <c r="H5" s="26" t="inlineStr">
        <is>
          <t>Notes/MD&amp;A из годового отчета соответствующего года; см. лист Источники</t>
        </is>
      </c>
      <c r="I5" s="26" t="inlineStr">
        <is>
          <t>Air Astana не раскрывает классическую себестоимость отдельной строкой; для Input использована расчетная себестоимость как сумма основных прямых операционных расходов: топливо, персонал/экипаж, техническое обслуживание, аэропортовое обслуживание и обслуживание пассажиров.</t>
        </is>
      </c>
      <c r="J5" s="27" t="n">
        <v>616152033</v>
      </c>
      <c r="K5" s="27" t="n">
        <v>-418011730</v>
      </c>
      <c r="L5" s="27" t="n">
        <v>198140303</v>
      </c>
      <c r="M5" s="27" t="n">
        <v>-553829486</v>
      </c>
      <c r="N5" s="27" t="n">
        <v>62322547</v>
      </c>
      <c r="O5" s="27" t="n">
        <v>10376957</v>
      </c>
      <c r="P5" s="27" t="n">
        <v>-30618503</v>
      </c>
      <c r="Q5" s="27" t="n">
        <v>-9939963</v>
      </c>
      <c r="R5" s="27" t="n">
        <v>-6618444</v>
      </c>
      <c r="S5" s="27" t="n">
        <v>25522594</v>
      </c>
      <c r="T5" s="27" t="n">
        <v>952063811</v>
      </c>
      <c r="U5" s="27" t="n">
        <v>256622307</v>
      </c>
      <c r="V5" s="27" t="n">
        <v>10922813</v>
      </c>
      <c r="W5" s="27" t="n">
        <v>34724999</v>
      </c>
      <c r="X5" s="27" t="n">
        <v>558341061</v>
      </c>
      <c r="Y5" s="27" t="n">
        <v>3160112</v>
      </c>
      <c r="Z5" s="27" t="n">
        <v>744892164</v>
      </c>
      <c r="AA5" s="27" t="n">
        <v>273582</v>
      </c>
      <c r="AB5" s="27" t="n">
        <v>29406</v>
      </c>
      <c r="AC5" s="27" t="n">
        <v>302988</v>
      </c>
      <c r="AD5" s="27" t="n">
        <v>376385720</v>
      </c>
      <c r="AE5" s="27" t="n">
        <v>90259057</v>
      </c>
      <c r="AF5" s="27" t="n">
        <v>466644777</v>
      </c>
      <c r="AG5" s="27" t="n">
        <v>466947765</v>
      </c>
      <c r="AH5" s="27" t="n">
        <v>210325458</v>
      </c>
      <c r="AI5" s="27" t="n">
        <v>207171647</v>
      </c>
      <c r="AJ5" s="27" t="n">
        <v>173127148</v>
      </c>
      <c r="AK5" s="27" t="n">
        <v>-8509373</v>
      </c>
      <c r="AL5" s="27" t="n">
        <v>-62191375</v>
      </c>
      <c r="AM5" s="27" t="n">
        <v>46099340</v>
      </c>
      <c r="AN5" s="27" t="n">
        <v>0</v>
      </c>
      <c r="AO5" s="27" t="n">
        <v>89033552</v>
      </c>
      <c r="AP5" s="27" t="n">
        <v>127027808</v>
      </c>
      <c r="AQ5" s="28" t="n">
        <v>6.783289660917695</v>
      </c>
      <c r="AR5" s="29" t="n">
        <v>0.1011480018925784</v>
      </c>
      <c r="AS5" s="29" t="n">
        <v>0.3215769686505279</v>
      </c>
      <c r="AT5" s="29" t="n">
        <v>0.04142255909752066</v>
      </c>
      <c r="AU5" s="29" t="n">
        <v>0.02680765060609997</v>
      </c>
      <c r="AV5" s="29" t="n">
        <v>0.1231954003821768</v>
      </c>
      <c r="AW5" s="29" t="n">
        <v>0.4904584751620183</v>
      </c>
      <c r="AX5" s="29" t="n">
        <v>2.25391732778955</v>
      </c>
      <c r="AY5" s="28" t="n">
        <v>1.549703454148743</v>
      </c>
      <c r="AZ5" s="28" t="n">
        <v>1.249604809852984</v>
      </c>
      <c r="BA5" s="28" t="n">
        <v>1.191051354845906</v>
      </c>
      <c r="BB5" s="28" t="n">
        <v>2.035453758140952</v>
      </c>
      <c r="BC5" s="28" t="n">
        <v>0.6471751429694874</v>
      </c>
      <c r="BD5" s="28" t="n">
        <v>56.40964767958584</v>
      </c>
      <c r="BE5" s="28" t="n">
        <v>17.74375956065542</v>
      </c>
      <c r="BF5" s="28" t="n">
        <v>6.470524369754047</v>
      </c>
      <c r="BG5" s="28" t="n">
        <v>30.32121762468245</v>
      </c>
      <c r="BH5" s="28" t="n">
        <v>3.755523354564295</v>
      </c>
      <c r="BI5" s="29" t="n">
        <v>0.2326911449142293</v>
      </c>
      <c r="BJ5" s="29" t="n">
        <v>0.4901402317874679</v>
      </c>
      <c r="BK5" s="29" t="n">
        <v>0.8988519981074217</v>
      </c>
      <c r="BL5" s="29" t="n">
        <v>0.9507556749390779</v>
      </c>
      <c r="BM5" s="29" t="n">
        <v>0.07481812528564682</v>
      </c>
    </row>
    <row r="6">
      <c r="A6" s="26" t="n">
        <v>2025</v>
      </c>
      <c r="B6" s="26" t="inlineStr">
        <is>
          <t>Air Astana</t>
        </is>
      </c>
      <c r="C6" s="26" t="inlineStr">
        <is>
          <t>2021-2025</t>
        </is>
      </c>
      <c r="D6" s="26" t="inlineStr">
        <is>
          <t>KZT</t>
        </is>
      </c>
      <c r="E6" s="26" t="inlineStr">
        <is>
          <t>тыс. тенге</t>
        </is>
      </c>
      <c r="F6" s="26" t="inlineStr">
        <is>
          <t>Фактические исторические данные</t>
        </is>
      </c>
      <c r="G6" s="26" t="inlineStr">
        <is>
          <t>Финансовая отчетность Air Astana 2025; Баланс, ОПиУ, ОДДС</t>
        </is>
      </c>
      <c r="H6" s="26" t="inlineStr">
        <is>
          <t>Notes/MD&amp;A из годового отчета соответствующего года; см. лист Источники</t>
        </is>
      </c>
      <c r="I6" s="26" t="inlineStr">
        <is>
          <t>Air Astana не раскрывает классическую себестоимость отдельной строкой; для Input использована расчетная себестоимость как сумма основных прямых операционных расходов: топливо, персонал/экипаж, техническое обслуживание, аэропортовое обслуживание и обслуживание пассажиров.</t>
        </is>
      </c>
      <c r="J6" s="27" t="n">
        <v>758966733</v>
      </c>
      <c r="K6" s="27" t="n">
        <v>-532414996</v>
      </c>
      <c r="L6" s="27" t="n">
        <v>226551737</v>
      </c>
      <c r="M6" s="27" t="n">
        <v>-713117652</v>
      </c>
      <c r="N6" s="27" t="n">
        <v>45849081</v>
      </c>
      <c r="O6" s="27" t="n">
        <v>11633517</v>
      </c>
      <c r="P6" s="27" t="n">
        <v>-42893475</v>
      </c>
      <c r="Q6" s="27" t="n">
        <v>-4142993</v>
      </c>
      <c r="R6" s="27" t="n">
        <v>-3423268</v>
      </c>
      <c r="S6" s="27" t="n">
        <v>7022862</v>
      </c>
      <c r="T6" s="27" t="n">
        <v>1039663393</v>
      </c>
      <c r="U6" s="27" t="n">
        <v>239053004</v>
      </c>
      <c r="V6" s="27" t="n">
        <v>13142263</v>
      </c>
      <c r="W6" s="27" t="n">
        <v>43686386</v>
      </c>
      <c r="X6" s="27" t="n">
        <v>604500136</v>
      </c>
      <c r="Y6" s="27" t="n">
        <v>3286956</v>
      </c>
      <c r="Z6" s="27" t="n">
        <v>852964087</v>
      </c>
      <c r="AA6" s="27" t="n">
        <v>2509956</v>
      </c>
      <c r="AB6" s="27" t="n">
        <v>316967</v>
      </c>
      <c r="AC6" s="27" t="n">
        <v>2826923</v>
      </c>
      <c r="AD6" s="27" t="n">
        <v>427807796</v>
      </c>
      <c r="AE6" s="27" t="n">
        <v>100151054</v>
      </c>
      <c r="AF6" s="27" t="n">
        <v>527958850</v>
      </c>
      <c r="AG6" s="27" t="n">
        <v>530785773</v>
      </c>
      <c r="AH6" s="27" t="n">
        <v>291732769</v>
      </c>
      <c r="AI6" s="27" t="n">
        <v>186699306</v>
      </c>
      <c r="AJ6" s="27" t="n">
        <v>127590876</v>
      </c>
      <c r="AK6" s="27" t="n">
        <v>17598903</v>
      </c>
      <c r="AL6" s="27" t="n">
        <v>-152510081</v>
      </c>
      <c r="AM6" s="27" t="n">
        <v>28152607</v>
      </c>
      <c r="AN6" s="27" t="n">
        <v>19393090</v>
      </c>
      <c r="AO6" s="27" t="n">
        <v>119929168</v>
      </c>
      <c r="AP6" s="27" t="n">
        <v>99438269</v>
      </c>
      <c r="AQ6" s="28" t="n">
        <v>18.16793153560472</v>
      </c>
      <c r="AR6" s="29" t="n">
        <v>0.06040986911082439</v>
      </c>
      <c r="AS6" s="29" t="n">
        <v>0.298500220298852</v>
      </c>
      <c r="AT6" s="29" t="n">
        <v>0.009253188176299158</v>
      </c>
      <c r="AU6" s="29" t="n">
        <v>0.006754938230281616</v>
      </c>
      <c r="AV6" s="29" t="n">
        <v>0.03761589772594013</v>
      </c>
      <c r="AW6" s="29" t="n">
        <v>0.5105361760101906</v>
      </c>
      <c r="AX6" s="29" t="n">
        <v>2.842998104127929</v>
      </c>
      <c r="AY6" s="28" t="n">
        <v>1.238270518635789</v>
      </c>
      <c r="AZ6" s="28" t="n">
        <v>0.9633641639652082</v>
      </c>
      <c r="BA6" s="28" t="n">
        <v>0.8292956955581641</v>
      </c>
      <c r="BB6" s="28" t="n">
        <v>1.068905725171486</v>
      </c>
      <c r="BC6" s="28" t="n">
        <v>0.7300119809065932</v>
      </c>
      <c r="BD6" s="28" t="n">
        <v>57.75007949544154</v>
      </c>
      <c r="BE6" s="28" t="n">
        <v>17.37307208245608</v>
      </c>
      <c r="BF6" s="28" t="n">
        <v>6.320337620120696</v>
      </c>
      <c r="BG6" s="28" t="n">
        <v>29.94943983508684</v>
      </c>
      <c r="BH6" s="28" t="n">
        <v>4.532115835666658</v>
      </c>
      <c r="BI6" s="29" t="n">
        <v>0.2281230289444057</v>
      </c>
      <c r="BJ6" s="29" t="n">
        <v>0.5078171007604189</v>
      </c>
      <c r="BK6" s="29" t="n">
        <v>0.9395901308891756</v>
      </c>
      <c r="BL6" s="29" t="n">
        <v>0.9500370314649879</v>
      </c>
      <c r="BM6" s="29" t="n">
        <v>0.03709333462972744</v>
      </c>
    </row>
  </sheetData>
  <autoFilter ref="A1:BM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36" customWidth="1" min="7" max="7"/>
    <col width="36" customWidth="1" min="8" max="8"/>
  </cols>
  <sheetData>
    <row r="1">
      <c r="A1" s="25" t="inlineStr">
        <is>
          <t>Проверка</t>
        </is>
      </c>
      <c r="B1" s="25" t="n">
        <v>2021</v>
      </c>
      <c r="C1" s="25" t="n">
        <v>2022</v>
      </c>
      <c r="D1" s="25" t="n">
        <v>2023</v>
      </c>
      <c r="E1" s="25" t="n">
        <v>2024</v>
      </c>
      <c r="F1" s="25" t="n">
        <v>2025</v>
      </c>
      <c r="G1" s="25" t="inlineStr">
        <is>
          <t>Ожидаемый результат</t>
        </is>
      </c>
      <c r="H1" s="25" t="inlineStr">
        <is>
          <t>Комментарий</t>
        </is>
      </c>
    </row>
    <row r="2">
      <c r="A2" s="26" t="inlineStr">
        <is>
          <t>Баланс: активы - обязательства - капитал</t>
        </is>
      </c>
      <c r="B2" s="30" t="n">
        <v>0</v>
      </c>
      <c r="C2" s="30" t="n">
        <v>0</v>
      </c>
      <c r="D2" s="30" t="n">
        <v>0</v>
      </c>
      <c r="E2" s="30" t="n">
        <v>0</v>
      </c>
      <c r="F2" s="30" t="n">
        <v>0</v>
      </c>
      <c r="G2" s="30" t="n">
        <v>0</v>
      </c>
      <c r="H2" s="26" t="inlineStr">
        <is>
          <t>Базовая арифметика баланса должна сходиться</t>
        </is>
      </c>
    </row>
    <row r="3">
      <c r="A3" s="26" t="inlineStr">
        <is>
          <t>Валюта</t>
        </is>
      </c>
      <c r="B3" s="26" t="inlineStr">
        <is>
          <t>KZT</t>
        </is>
      </c>
      <c r="C3" s="26" t="inlineStr">
        <is>
          <t>KZT</t>
        </is>
      </c>
      <c r="D3" s="26" t="inlineStr">
        <is>
          <t>KZT</t>
        </is>
      </c>
      <c r="E3" s="26" t="inlineStr">
        <is>
          <t>KZT</t>
        </is>
      </c>
      <c r="F3" s="26" t="inlineStr">
        <is>
          <t>KZT</t>
        </is>
      </c>
      <c r="G3" s="26" t="inlineStr">
        <is>
          <t>KZT</t>
        </is>
      </c>
      <c r="H3" s="26" t="inlineStr">
        <is>
          <t>Единая валюта для всех лет</t>
        </is>
      </c>
    </row>
    <row r="4">
      <c r="A4" s="26" t="inlineStr">
        <is>
          <t>Масштаб</t>
        </is>
      </c>
      <c r="B4" s="26" t="inlineStr">
        <is>
          <t>тыс. тенге</t>
        </is>
      </c>
      <c r="C4" s="26" t="inlineStr">
        <is>
          <t>тыс. тенге</t>
        </is>
      </c>
      <c r="D4" s="26" t="inlineStr">
        <is>
          <t>тыс. тенге</t>
        </is>
      </c>
      <c r="E4" s="26" t="inlineStr">
        <is>
          <t>тыс. тенге</t>
        </is>
      </c>
      <c r="F4" s="26" t="inlineStr">
        <is>
          <t>тыс. тенге</t>
        </is>
      </c>
      <c r="G4" s="26" t="inlineStr">
        <is>
          <t>тыс. тенге</t>
        </is>
      </c>
      <c r="H4" s="26" t="inlineStr">
        <is>
          <t>Единый масштаб для всех лет</t>
        </is>
      </c>
    </row>
    <row r="5">
      <c r="A5" s="26" t="inlineStr">
        <is>
          <t>FCF = CFO - Capex</t>
        </is>
      </c>
      <c r="B5" s="30" t="n">
        <v>0</v>
      </c>
      <c r="C5" s="30" t="n">
        <v>0</v>
      </c>
      <c r="D5" s="30" t="n">
        <v>0</v>
      </c>
      <c r="E5" s="30" t="n">
        <v>0</v>
      </c>
      <c r="F5" s="30" t="n">
        <v>0</v>
      </c>
      <c r="G5" s="30" t="n">
        <v>0</v>
      </c>
      <c r="H5" s="26" t="inlineStr">
        <is>
          <t>Проверка формулы свободного денежного потока</t>
        </is>
      </c>
    </row>
    <row r="6">
      <c r="A6" s="26" t="inlineStr">
        <is>
          <t>Долг = займы + аренда</t>
        </is>
      </c>
      <c r="B6" s="30" t="n">
        <v>0</v>
      </c>
      <c r="C6" s="30" t="n">
        <v>0</v>
      </c>
      <c r="D6" s="30" t="n">
        <v>0</v>
      </c>
      <c r="E6" s="30" t="n">
        <v>0</v>
      </c>
      <c r="F6" s="30" t="n">
        <v>0</v>
      </c>
      <c r="G6" s="30" t="n">
        <v>0</v>
      </c>
      <c r="H6" s="26" t="inlineStr">
        <is>
          <t>Проверка состава долга</t>
        </is>
      </c>
    </row>
    <row r="7">
      <c r="A7" s="26" t="inlineStr">
        <is>
          <t>Прямые расходы отрицательные</t>
        </is>
      </c>
      <c r="B7" s="30" t="n">
        <v>-204035110</v>
      </c>
      <c r="C7" s="30" t="n">
        <v>-310335336</v>
      </c>
      <c r="D7" s="30" t="n">
        <v>-359214052</v>
      </c>
      <c r="E7" s="30" t="n">
        <v>-418011730</v>
      </c>
      <c r="F7" s="30" t="n">
        <v>-532414996</v>
      </c>
      <c r="G7" s="26" t="inlineStr">
        <is>
          <t>&lt; 0</t>
        </is>
      </c>
      <c r="H7" s="26" t="inlineStr">
        <is>
          <t>Для расходов в ОПиУ используется знак минус</t>
        </is>
      </c>
    </row>
    <row r="8">
      <c r="A8" s="26" t="inlineStr">
        <is>
          <t>Дивиденды положительным числом</t>
        </is>
      </c>
      <c r="B8" s="30" t="n">
        <v>0</v>
      </c>
      <c r="C8" s="30" t="n">
        <v>0</v>
      </c>
      <c r="D8" s="30" t="n">
        <v>7644016</v>
      </c>
      <c r="E8" s="30" t="n">
        <v>0</v>
      </c>
      <c r="F8" s="30" t="n">
        <v>19393090</v>
      </c>
      <c r="G8" s="26" t="inlineStr">
        <is>
          <t>&gt;= 0</t>
        </is>
      </c>
      <c r="H8" s="26" t="inlineStr">
        <is>
          <t>В input показывается выплаченная сумма как положительное число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5"/>
  <sheetViews>
    <sheetView showGridLines="1" tabSelected="1" zoomScale="46" zoomScaleNormal="46"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V22" sqref="V22"/>
    </sheetView>
  </sheetViews>
  <sheetFormatPr baseColWidth="8" defaultColWidth="9" defaultRowHeight="14.4"/>
  <cols>
    <col width="36.712962962963" customWidth="1" min="1" max="1"/>
    <col width="15.712962962963" customWidth="1" min="2" max="6"/>
    <col width="18.712962962963" customWidth="1" min="7" max="11"/>
    <col width="22.712962962963" customWidth="1" min="12" max="15"/>
  </cols>
  <sheetData>
    <row r="1" ht="28.8" customHeight="1">
      <c r="A1" s="14" t="inlineStr">
        <is>
          <t>тыс. тенге</t>
        </is>
      </c>
      <c r="B1" s="14" t="n">
        <v>2021</v>
      </c>
      <c r="C1" s="14" t="n">
        <v>2022</v>
      </c>
      <c r="D1" s="14" t="n">
        <v>2023</v>
      </c>
      <c r="E1" s="14" t="n">
        <v>2024</v>
      </c>
      <c r="F1" s="14" t="n">
        <v>2025</v>
      </c>
      <c r="G1" s="14" t="inlineStr">
        <is>
          <t>Удельный вес 2021,%</t>
        </is>
      </c>
      <c r="H1" s="14" t="inlineStr">
        <is>
          <t>Удельный вес 2022,%</t>
        </is>
      </c>
      <c r="I1" s="14" t="inlineStr">
        <is>
          <t>Удельный вес 2023,%</t>
        </is>
      </c>
      <c r="J1" s="14" t="inlineStr">
        <is>
          <t>Удельный вес 2024,%</t>
        </is>
      </c>
      <c r="K1" s="14" t="inlineStr">
        <is>
          <t>Удельный вес 2025,%</t>
        </is>
      </c>
      <c r="L1" s="14" t="inlineStr">
        <is>
          <t>Темп прироста 2021-2022,%</t>
        </is>
      </c>
      <c r="M1" s="14" t="inlineStr">
        <is>
          <t>Темп прироста 2022-2023,%</t>
        </is>
      </c>
      <c r="N1" s="14" t="inlineStr">
        <is>
          <t>Темп прироста 2023-2024,%</t>
        </is>
      </c>
      <c r="O1" s="14" t="inlineStr">
        <is>
          <t>Темп прироста 2024-2025,%</t>
        </is>
      </c>
    </row>
    <row r="2">
      <c r="A2" t="inlineStr">
        <is>
          <t>Активы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</row>
    <row r="3">
      <c r="A3" t="inlineStr">
        <is>
          <t>Долгосрочные активы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</row>
    <row r="4">
      <c r="A4" s="10" t="inlineStr">
        <is>
          <t>Основные средства</t>
        </is>
      </c>
      <c r="B4" s="31" t="n">
        <v>311845960</v>
      </c>
      <c r="C4" s="31" t="n">
        <v>378255700</v>
      </c>
      <c r="D4" s="31" t="n">
        <v>387885139</v>
      </c>
      <c r="E4" s="31" t="n">
        <v>558341061</v>
      </c>
      <c r="F4" s="31" t="n">
        <v>604500136</v>
      </c>
      <c r="G4" s="15">
        <f>B4/$B$19*100</f>
        <v/>
      </c>
      <c r="H4" s="15">
        <f>C4/$C$19*100</f>
        <v/>
      </c>
      <c r="I4" s="15">
        <f>D4/$D$19*100</f>
        <v/>
      </c>
      <c r="J4" s="15">
        <f>E4/$E$19*100</f>
        <v/>
      </c>
      <c r="K4" s="15">
        <f>F4/$F$19*100</f>
        <v/>
      </c>
      <c r="L4" s="15">
        <f>(C4-B4)/B4*100</f>
        <v/>
      </c>
      <c r="M4" s="15">
        <f>(D4-C4)/C4*100</f>
        <v/>
      </c>
      <c r="N4" s="15">
        <f>(E4-D4)/D4*100</f>
        <v/>
      </c>
      <c r="O4" s="15">
        <f>(F4-E4)/E4*100</f>
        <v/>
      </c>
    </row>
    <row r="5">
      <c r="A5" s="10" t="inlineStr">
        <is>
          <t>Нематериальные активы</t>
        </is>
      </c>
      <c r="B5" s="31" t="n">
        <v>659790</v>
      </c>
      <c r="C5" s="31" t="n">
        <v>718495</v>
      </c>
      <c r="D5" s="31" t="n">
        <v>1289132</v>
      </c>
      <c r="E5" s="31" t="n">
        <v>3160112</v>
      </c>
      <c r="F5" s="31" t="n">
        <v>3286956</v>
      </c>
      <c r="G5" s="15">
        <f>B5/$B$19*100</f>
        <v/>
      </c>
      <c r="H5" s="15">
        <f>C5/$C$19*100</f>
        <v/>
      </c>
      <c r="I5" s="15">
        <f>D5/$D$19*100</f>
        <v/>
      </c>
      <c r="J5" s="15">
        <f>E5/$E$19*100</f>
        <v/>
      </c>
      <c r="K5" s="15">
        <f>F5/$F$19*100</f>
        <v/>
      </c>
      <c r="L5" s="15">
        <f>(C5-B5)/B5*100</f>
        <v/>
      </c>
      <c r="M5" s="15">
        <f>(D5-C5)/C5*100</f>
        <v/>
      </c>
      <c r="N5" s="15">
        <f>(E5-D5)/D5*100</f>
        <v/>
      </c>
      <c r="O5" s="15">
        <f>(F5-E5)/E5*100</f>
        <v/>
      </c>
    </row>
    <row r="6">
      <c r="A6" s="10" t="inlineStr">
        <is>
          <t>Авансы выданные</t>
        </is>
      </c>
      <c r="B6" s="31" t="n">
        <v>7037908</v>
      </c>
      <c r="C6" s="31" t="n">
        <v>7178940</v>
      </c>
      <c r="D6" s="31" t="n">
        <v>8387087</v>
      </c>
      <c r="E6" s="31" t="n">
        <v>10287430</v>
      </c>
      <c r="F6" s="31" t="n">
        <v>10275403</v>
      </c>
      <c r="G6" s="15">
        <f>B6/$B$19*100</f>
        <v/>
      </c>
      <c r="H6" s="15">
        <f>C6/$C$19*100</f>
        <v/>
      </c>
      <c r="I6" s="15">
        <f>D6/$D$19*100</f>
        <v/>
      </c>
      <c r="J6" s="15">
        <f>E6/$E$19*100</f>
        <v/>
      </c>
      <c r="K6" s="15">
        <f>F6/$F$19*100</f>
        <v/>
      </c>
      <c r="L6" s="15">
        <f>(C6-B6)/B6*100</f>
        <v/>
      </c>
      <c r="M6" s="15">
        <f>(D6-C6)/C6*100</f>
        <v/>
      </c>
      <c r="N6" s="15">
        <f>(E6-D6)/D6*100</f>
        <v/>
      </c>
      <c r="O6" s="15">
        <f>(F6-E6)/E6*100</f>
        <v/>
      </c>
    </row>
    <row r="7">
      <c r="A7" s="10" t="inlineStr">
        <is>
          <t>Гарантийные депозиты</t>
        </is>
      </c>
      <c r="B7" s="31" t="n">
        <v>7761173</v>
      </c>
      <c r="C7" s="31" t="n">
        <v>13657428</v>
      </c>
      <c r="D7" s="31" t="n">
        <v>15137757</v>
      </c>
      <c r="E7" s="31" t="n">
        <v>20319131</v>
      </c>
      <c r="F7" s="31" t="n">
        <v>22723574</v>
      </c>
      <c r="G7" s="15">
        <f>B7/$B$19*100</f>
        <v/>
      </c>
      <c r="H7" s="15">
        <f>C7/$C$19*100</f>
        <v/>
      </c>
      <c r="I7" s="15">
        <f>D7/$D$19*100</f>
        <v/>
      </c>
      <c r="J7" s="15">
        <f>E7/$E$19*100</f>
        <v/>
      </c>
      <c r="K7" s="15">
        <f>F7/$F$19*100</f>
        <v/>
      </c>
      <c r="L7" s="15">
        <f>(C7-B7)/B7*100</f>
        <v/>
      </c>
      <c r="M7" s="15">
        <f>(D7-C7)/C7*100</f>
        <v/>
      </c>
      <c r="N7" s="15">
        <f>(E7-D7)/D7*100</f>
        <v/>
      </c>
      <c r="O7" s="15">
        <f>(F7-E7)/E7*100</f>
        <v/>
      </c>
    </row>
    <row r="8">
      <c r="A8" s="10" t="inlineStr">
        <is>
          <t>Отложенные налоговые активы</t>
        </is>
      </c>
      <c r="B8" s="31" t="n">
        <v>1170610</v>
      </c>
      <c r="C8" s="31" t="n">
        <v>8553011</v>
      </c>
      <c r="D8" s="31" t="n">
        <v>16836902</v>
      </c>
      <c r="E8" s="31" t="n">
        <v>25521921</v>
      </c>
      <c r="F8" s="31" t="n">
        <v>40910015</v>
      </c>
      <c r="G8" s="15">
        <f>B8/$B$19*100</f>
        <v/>
      </c>
      <c r="H8" s="15">
        <f>C8/$C$19*100</f>
        <v/>
      </c>
      <c r="I8" s="15">
        <f>D8/$D$19*100</f>
        <v/>
      </c>
      <c r="J8" s="15">
        <f>E8/$E$19*100</f>
        <v/>
      </c>
      <c r="K8" s="15">
        <f>F8/$F$19*100</f>
        <v/>
      </c>
      <c r="L8" s="15">
        <f>(C8-B8)/B8*100</f>
        <v/>
      </c>
      <c r="M8" s="15">
        <f>(D8-C8)/C8*100</f>
        <v/>
      </c>
      <c r="N8" s="15">
        <f>(E8-D8)/D8*100</f>
        <v/>
      </c>
      <c r="O8" s="15">
        <f>(F8-E8)/E8*100</f>
        <v/>
      </c>
    </row>
    <row r="9" ht="28.8" customHeight="1">
      <c r="A9" s="10" t="inlineStr">
        <is>
          <t>Торговая и прочая дебиторская задолженность</t>
        </is>
      </c>
      <c r="B9" s="31" t="n">
        <v>1559230</v>
      </c>
      <c r="C9" s="31" t="n">
        <v>601445</v>
      </c>
      <c r="D9" s="31" t="n">
        <v>610474</v>
      </c>
      <c r="E9" s="31" t="n">
        <v>330819</v>
      </c>
      <c r="F9" s="31" t="n">
        <v>839685</v>
      </c>
      <c r="G9" s="15">
        <f>B9/$B$19*100</f>
        <v/>
      </c>
      <c r="H9" s="15">
        <f>C9/$C$19*100</f>
        <v/>
      </c>
      <c r="I9" s="15">
        <f>D9/$D$19*100</f>
        <v/>
      </c>
      <c r="J9" s="15">
        <f>E9/$E$19*100</f>
        <v/>
      </c>
      <c r="K9" s="15">
        <f>F9/$F$19*100</f>
        <v/>
      </c>
      <c r="L9" s="15">
        <f>(C9-B9)/B9*100</f>
        <v/>
      </c>
      <c r="M9" s="15">
        <f>(D9-C9)/C9*100</f>
        <v/>
      </c>
      <c r="N9" s="15">
        <f>(E9-D9)/D9*100</f>
        <v/>
      </c>
      <c r="O9" s="15">
        <f>(F9-E9)/E9*100</f>
        <v/>
      </c>
    </row>
    <row r="10">
      <c r="A10" t="inlineStr">
        <is>
          <t>Текущие активы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10" t="inlineStr">
        <is>
          <t>Товарно-материальные запасы</t>
        </is>
      </c>
      <c r="B11" s="31" t="n">
        <v>22261449</v>
      </c>
      <c r="C11" s="31" t="n">
        <v>22750814</v>
      </c>
      <c r="D11" s="31" t="n">
        <v>30704619</v>
      </c>
      <c r="E11" s="31" t="n">
        <v>34724999</v>
      </c>
      <c r="F11" s="31" t="n">
        <v>43686386</v>
      </c>
      <c r="G11" s="15">
        <f>B11/$B$19*100</f>
        <v/>
      </c>
      <c r="H11" s="15">
        <f>C11/$C$19*100</f>
        <v/>
      </c>
      <c r="I11" s="15">
        <f>D11/$D$19*100</f>
        <v/>
      </c>
      <c r="J11" s="15">
        <f>E11/$E$19*100</f>
        <v/>
      </c>
      <c r="K11" s="15">
        <f>F11/$F$19*100</f>
        <v/>
      </c>
      <c r="L11" s="15">
        <f>(C11-B11)/B11*100</f>
        <v/>
      </c>
      <c r="M11" s="15">
        <f>(D11-C11)/C11*100</f>
        <v/>
      </c>
      <c r="N11" s="15">
        <f>(E11-D11)/D11*100</f>
        <v/>
      </c>
      <c r="O11" s="15">
        <f>(F11-E11)/E11*100</f>
        <v/>
      </c>
    </row>
    <row r="12">
      <c r="A12" s="10" t="inlineStr">
        <is>
          <t>Авансы выданные, текущие</t>
        </is>
      </c>
      <c r="B12" s="31" t="n">
        <v>11457381</v>
      </c>
      <c r="C12" s="31" t="n">
        <v>9720739</v>
      </c>
      <c r="D12" s="31" t="n">
        <v>11284452</v>
      </c>
      <c r="E12" s="31" t="n">
        <v>15905582</v>
      </c>
      <c r="F12" s="31" t="n">
        <v>15880719</v>
      </c>
      <c r="G12" s="15">
        <f>B12/$B$19*100</f>
        <v/>
      </c>
      <c r="H12" s="15">
        <f>C12/$C$19*100</f>
        <v/>
      </c>
      <c r="I12" s="15">
        <f>D12/$D$19*100</f>
        <v/>
      </c>
      <c r="J12" s="15">
        <f>E12/$E$19*100</f>
        <v/>
      </c>
      <c r="K12" s="15">
        <f>F12/$F$19*100</f>
        <v/>
      </c>
      <c r="L12" s="15">
        <f>(C12-B12)/B12*100</f>
        <v/>
      </c>
      <c r="M12" s="15">
        <f>(D12-C12)/C12*100</f>
        <v/>
      </c>
      <c r="N12" s="15">
        <f>(E12-D12)/D12*100</f>
        <v/>
      </c>
      <c r="O12" s="15">
        <f>(F12-E12)/E12*100</f>
        <v/>
      </c>
    </row>
    <row r="13">
      <c r="A13" s="10" t="inlineStr">
        <is>
          <t>Предоплата по подоходному налогу</t>
        </is>
      </c>
      <c r="B13" s="31" t="n">
        <v>1135634</v>
      </c>
      <c r="C13" s="31" t="n">
        <v>4153672</v>
      </c>
      <c r="D13" s="31" t="n">
        <v>6027011</v>
      </c>
      <c r="E13" s="31" t="n">
        <v>6825905</v>
      </c>
      <c r="F13" s="31" t="n">
        <v>3591791</v>
      </c>
      <c r="G13" s="15">
        <f>B13/$B$19*100</f>
        <v/>
      </c>
      <c r="H13" s="15">
        <f>C13/$C$19*100</f>
        <v/>
      </c>
      <c r="I13" s="15">
        <f>D13/$D$19*100</f>
        <v/>
      </c>
      <c r="J13" s="15">
        <f>E13/$E$19*100</f>
        <v/>
      </c>
      <c r="K13" s="15">
        <f>F13/$F$19*100</f>
        <v/>
      </c>
      <c r="L13" s="15">
        <f>(C13-B13)/B13*100</f>
        <v/>
      </c>
      <c r="M13" s="15">
        <f>(D13-C13)/C13*100</f>
        <v/>
      </c>
      <c r="N13" s="15">
        <f>(E13-D13)/D13*100</f>
        <v/>
      </c>
      <c r="O13" s="15">
        <f>(F13-E13)/E13*100</f>
        <v/>
      </c>
    </row>
    <row r="14" ht="28.8" customHeight="1">
      <c r="A14" s="10" t="inlineStr">
        <is>
          <t>Торговая и прочая дебиторская задолженность</t>
        </is>
      </c>
      <c r="B14" s="31" t="n">
        <v>6103061</v>
      </c>
      <c r="C14" s="31" t="n">
        <v>9857684</v>
      </c>
      <c r="D14" s="31" t="n">
        <v>10693524</v>
      </c>
      <c r="E14" s="31" t="n">
        <v>10922813</v>
      </c>
      <c r="F14" s="31" t="n">
        <v>13142263</v>
      </c>
      <c r="G14" s="15">
        <f>B14/$B$19*100</f>
        <v/>
      </c>
      <c r="H14" s="15">
        <f>C14/$C$19*100</f>
        <v/>
      </c>
      <c r="I14" s="15">
        <f>D14/$D$19*100</f>
        <v/>
      </c>
      <c r="J14" s="15">
        <f>E14/$E$19*100</f>
        <v/>
      </c>
      <c r="K14" s="15">
        <f>F14/$F$19*100</f>
        <v/>
      </c>
      <c r="L14" s="15">
        <f>(C14-B14)/B14*100</f>
        <v/>
      </c>
      <c r="M14" s="15">
        <f>(D14-C14)/C14*100</f>
        <v/>
      </c>
      <c r="N14" s="15">
        <f>(E14-D14)/D14*100</f>
        <v/>
      </c>
      <c r="O14" s="15">
        <f>(F14-E14)/E14*100</f>
        <v/>
      </c>
    </row>
    <row r="15">
      <c r="A15" s="10" t="inlineStr">
        <is>
          <t>Предоплата по прочим налогам</t>
        </is>
      </c>
      <c r="B15" s="31" t="n">
        <v>3328746</v>
      </c>
      <c r="C15" s="31" t="n">
        <v>3876082</v>
      </c>
      <c r="D15" s="31" t="n">
        <v>4657876</v>
      </c>
      <c r="E15" s="31" t="n">
        <v>7242317</v>
      </c>
      <c r="F15" s="31" t="n">
        <v>16126407</v>
      </c>
      <c r="G15" s="15">
        <f>B15/$B$19*100</f>
        <v/>
      </c>
      <c r="H15" s="15">
        <f>C15/$C$19*100</f>
        <v/>
      </c>
      <c r="I15" s="15">
        <f>D15/$D$19*100</f>
        <v/>
      </c>
      <c r="J15" s="15">
        <f>E15/$E$19*100</f>
        <v/>
      </c>
      <c r="K15" s="15">
        <f>F15/$F$19*100</f>
        <v/>
      </c>
      <c r="L15" s="15">
        <f>(C15-B15)/B15*100</f>
        <v/>
      </c>
      <c r="M15" s="15">
        <f>(D15-C15)/C15*100</f>
        <v/>
      </c>
      <c r="N15" s="15">
        <f>(E15-D15)/D15*100</f>
        <v/>
      </c>
      <c r="O15" s="15">
        <f>(F15-E15)/E15*100</f>
        <v/>
      </c>
    </row>
    <row r="16">
      <c r="A16" s="10" t="inlineStr">
        <is>
          <t>Гарантийные депозиты, текущие</t>
        </is>
      </c>
      <c r="B16" s="31" t="n">
        <v>677062</v>
      </c>
      <c r="C16" s="31" t="n">
        <v>1626677</v>
      </c>
      <c r="D16" s="31" t="n">
        <v>899574</v>
      </c>
      <c r="E16" s="31" t="n">
        <v>1700831</v>
      </c>
      <c r="F16" s="31" t="n">
        <v>25524210</v>
      </c>
      <c r="G16" s="15">
        <f>B16/$B$19*100</f>
        <v/>
      </c>
      <c r="H16" s="15">
        <f>C16/$C$19*100</f>
        <v/>
      </c>
      <c r="I16" s="15">
        <f>D16/$D$19*100</f>
        <v/>
      </c>
      <c r="J16" s="15">
        <f>E16/$E$19*100</f>
        <v/>
      </c>
      <c r="K16" s="15">
        <f>F16/$F$19*100</f>
        <v/>
      </c>
      <c r="L16" s="15">
        <f>(C16-B16)/B16*100</f>
        <v/>
      </c>
      <c r="M16" s="15">
        <f>(D16-C16)/C16*100</f>
        <v/>
      </c>
      <c r="N16" s="15">
        <f>(E16-D16)/D16*100</f>
        <v/>
      </c>
      <c r="O16" s="15">
        <f>(F16-E16)/E16*100</f>
        <v/>
      </c>
    </row>
    <row r="17">
      <c r="A17" s="10" t="inlineStr">
        <is>
          <t>Денежные средства и их эквиваленты</t>
        </is>
      </c>
      <c r="B17" s="31" t="n">
        <v>97740953</v>
      </c>
      <c r="C17" s="31" t="n">
        <v>116998633</v>
      </c>
      <c r="D17" s="31" t="n">
        <v>124552167</v>
      </c>
      <c r="E17" s="31" t="n">
        <v>256622307</v>
      </c>
      <c r="F17" s="31" t="n">
        <v>239053004</v>
      </c>
      <c r="G17" s="15">
        <f>B17/$B$19*100</f>
        <v/>
      </c>
      <c r="H17" s="15">
        <f>C17/$C$19*100</f>
        <v/>
      </c>
      <c r="I17" s="15">
        <f>D17/$D$19*100</f>
        <v/>
      </c>
      <c r="J17" s="15">
        <f>E17/$E$19*100</f>
        <v/>
      </c>
      <c r="K17" s="15">
        <f>F17/$F$19*100</f>
        <v/>
      </c>
      <c r="L17" s="15">
        <f>(C17-B17)/B17*100</f>
        <v/>
      </c>
      <c r="M17" s="15">
        <f>(D17-C17)/C17*100</f>
        <v/>
      </c>
      <c r="N17" s="15">
        <f>(E17-D17)/D17*100</f>
        <v/>
      </c>
      <c r="O17" s="15">
        <f>(F17-E17)/E17*100</f>
        <v/>
      </c>
    </row>
    <row r="18">
      <c r="A18" s="10" t="inlineStr">
        <is>
          <t>Прочие финансовые активы</t>
        </is>
      </c>
      <c r="B18" s="31" t="n">
        <v>3187979</v>
      </c>
      <c r="C18" s="31" t="n">
        <v>767999</v>
      </c>
      <c r="D18" s="31" t="n">
        <v>346829</v>
      </c>
      <c r="E18" s="31" t="n">
        <v>158583</v>
      </c>
      <c r="F18" s="31" t="n">
        <v>122844</v>
      </c>
      <c r="G18" s="15">
        <f>B18/$B$19*100</f>
        <v/>
      </c>
      <c r="H18" s="15">
        <f>C18/$C$19*100</f>
        <v/>
      </c>
      <c r="I18" s="15">
        <f>D18/$D$19*100</f>
        <v/>
      </c>
      <c r="J18" s="15">
        <f>E18/$E$19*100</f>
        <v/>
      </c>
      <c r="K18" s="15">
        <f>F18/$F$19*100</f>
        <v/>
      </c>
      <c r="L18" s="15">
        <f>(C18-B18)/B18*100</f>
        <v/>
      </c>
      <c r="M18" s="15">
        <f>(D18-C18)/C18*100</f>
        <v/>
      </c>
      <c r="N18" s="15">
        <f>(E18-D18)/D18*100</f>
        <v/>
      </c>
      <c r="O18" s="15">
        <f>(F18-E18)/E18*100</f>
        <v/>
      </c>
    </row>
    <row r="19">
      <c r="A19" s="10" t="inlineStr">
        <is>
          <t>Итого активы</t>
        </is>
      </c>
      <c r="B19" s="31" t="n">
        <v>475926936</v>
      </c>
      <c r="C19" s="31" t="n">
        <v>578717319</v>
      </c>
      <c r="D19" s="31" t="n">
        <v>619312543</v>
      </c>
      <c r="E19" s="31" t="n">
        <v>952063811</v>
      </c>
      <c r="F19" s="31" t="n">
        <v>1039663393</v>
      </c>
      <c r="G19" s="15">
        <f>B19/$B$19*100</f>
        <v/>
      </c>
      <c r="H19" s="15">
        <f>C19/$C$19*100</f>
        <v/>
      </c>
      <c r="I19" s="15">
        <f>D19/$D$19*100</f>
        <v/>
      </c>
      <c r="J19" s="15">
        <f>E19/$E$19*100</f>
        <v/>
      </c>
      <c r="K19" s="15">
        <f>F19/$F$19*100</f>
        <v/>
      </c>
      <c r="L19" s="15">
        <f>(C19-B19)/B19*100</f>
        <v/>
      </c>
      <c r="M19" s="15">
        <f>(D19-C19)/C19*100</f>
        <v/>
      </c>
      <c r="N19" s="15">
        <f>(E19-D19)/D19*100</f>
        <v/>
      </c>
      <c r="O19" s="15">
        <f>(F19-E19)/E19*100</f>
        <v/>
      </c>
    </row>
    <row r="20">
      <c r="A20" t="inlineStr">
        <is>
          <t>Собственный капитал и обязательства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t="inlineStr">
        <is>
          <t>Собственный капитал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10" t="inlineStr">
        <is>
          <t>Акционерный капитал</t>
        </is>
      </c>
      <c r="B22" s="31" t="n">
        <v>2501550</v>
      </c>
      <c r="C22" s="31" t="n">
        <v>2501550</v>
      </c>
      <c r="D22" s="31" t="n">
        <v>2501550</v>
      </c>
      <c r="E22" s="31" t="n">
        <v>56758223</v>
      </c>
      <c r="F22" s="31" t="n">
        <v>56758223</v>
      </c>
      <c r="G22" s="15">
        <f>B22/$B$29*100</f>
        <v/>
      </c>
      <c r="H22" s="15">
        <f>C22/$C$29*100</f>
        <v/>
      </c>
      <c r="I22" s="15">
        <f>D22/$D$29*100</f>
        <v/>
      </c>
      <c r="J22" s="15">
        <f>E22/$E$29*100</f>
        <v/>
      </c>
      <c r="K22" s="15">
        <f>F22/$F$29*100</f>
        <v/>
      </c>
      <c r="L22" s="15">
        <f>(C22-B22)/B22*100</f>
        <v/>
      </c>
      <c r="M22" s="15">
        <f>(D22-C22)/C22*100</f>
        <v/>
      </c>
      <c r="N22" s="15">
        <f>(E22-D22)/D22*100</f>
        <v/>
      </c>
      <c r="O22" s="15">
        <f>(F22-E22)/E22*100</f>
        <v/>
      </c>
    </row>
    <row r="23">
      <c r="A23" s="10" t="inlineStr">
        <is>
          <t>Дополнительно оплаченный капитал</t>
        </is>
      </c>
      <c r="B23" s="31" t="n">
        <v>48996</v>
      </c>
      <c r="C23" s="31" t="n">
        <v>48996</v>
      </c>
      <c r="D23" s="31" t="n">
        <v>48996</v>
      </c>
      <c r="E23" s="31" t="n">
        <v>48996</v>
      </c>
      <c r="F23" s="31" t="n">
        <v>48996</v>
      </c>
      <c r="G23" s="15">
        <f>B23/$B$29*100</f>
        <v/>
      </c>
      <c r="H23" s="15">
        <f>C23/$C$29*100</f>
        <v/>
      </c>
      <c r="I23" s="15">
        <f>D23/$D$29*100</f>
        <v/>
      </c>
      <c r="J23" s="15">
        <f>E23/$E$29*100</f>
        <v/>
      </c>
      <c r="K23" s="15">
        <f>F23/$F$29*100</f>
        <v/>
      </c>
      <c r="L23" s="15">
        <f>(C23-B23)/B23*100</f>
        <v/>
      </c>
      <c r="M23" s="15">
        <f>(D23-C23)/C23*100</f>
        <v/>
      </c>
      <c r="N23" s="15">
        <f>(E23-D23)/D23*100</f>
        <v/>
      </c>
      <c r="O23" s="15">
        <f>(F23-E23)/E23*100</f>
        <v/>
      </c>
    </row>
    <row r="24">
      <c r="A24" s="10" t="inlineStr">
        <is>
          <t>Прочие резервы</t>
        </is>
      </c>
      <c r="B24" s="31" t="n">
        <v>0</v>
      </c>
      <c r="C24" s="31" t="n">
        <v>0</v>
      </c>
      <c r="D24" s="31" t="n">
        <v>0</v>
      </c>
      <c r="E24" s="31" t="n">
        <v>1455281</v>
      </c>
      <c r="F24" s="31" t="n">
        <v>-691711</v>
      </c>
      <c r="G24" s="15">
        <f>B24/$B$29*100</f>
        <v/>
      </c>
      <c r="H24" s="15">
        <f>C24/$C$29*100</f>
        <v/>
      </c>
      <c r="I24" s="15">
        <f>D24/$D$29*100</f>
        <v/>
      </c>
      <c r="J24" s="15">
        <f>E24/$E$29*100</f>
        <v/>
      </c>
      <c r="K24" s="15">
        <f>F24/$F$29*100</f>
        <v/>
      </c>
      <c r="L24" s="15" t="n">
        <v>0</v>
      </c>
      <c r="M24" s="15" t="n">
        <v>0</v>
      </c>
      <c r="N24" s="15" t="n">
        <v>0</v>
      </c>
      <c r="O24" s="15">
        <f>(F24-E24)/E24*100</f>
        <v/>
      </c>
    </row>
    <row r="25">
      <c r="A25" s="10" t="inlineStr">
        <is>
          <t>Выкупленные акции</t>
        </is>
      </c>
      <c r="B25" s="31" t="n">
        <v>0</v>
      </c>
      <c r="C25" s="31" t="n">
        <v>0</v>
      </c>
      <c r="D25" s="31" t="n">
        <v>0</v>
      </c>
      <c r="E25" s="31" t="n">
        <v>-3952306</v>
      </c>
      <c r="F25" s="31" t="n">
        <v>-2624585</v>
      </c>
      <c r="G25" s="15">
        <f>B25/$B$29*100</f>
        <v/>
      </c>
      <c r="H25" s="15">
        <f>C25/$C$29*100</f>
        <v/>
      </c>
      <c r="I25" s="15">
        <f>D25/$D$29*100</f>
        <v/>
      </c>
      <c r="J25" s="15">
        <f>E25/$E$29*100</f>
        <v/>
      </c>
      <c r="K25" s="15">
        <f>F25/$F$29*100</f>
        <v/>
      </c>
      <c r="L25" s="15" t="n">
        <v>0</v>
      </c>
      <c r="M25" s="15" t="n">
        <v>0</v>
      </c>
      <c r="N25" s="15" t="n">
        <v>0</v>
      </c>
      <c r="O25" s="15">
        <f>(F25-E25)/E25*100</f>
        <v/>
      </c>
    </row>
    <row r="26">
      <c r="A26" s="10" t="inlineStr">
        <is>
          <t>Резерв по пересчету валюты отчетности</t>
        </is>
      </c>
      <c r="B26" s="31" t="n">
        <v>10002799</v>
      </c>
      <c r="C26" s="31" t="n">
        <v>11930890</v>
      </c>
      <c r="D26" s="31" t="n">
        <v>12323792</v>
      </c>
      <c r="E26" s="31" t="n">
        <v>40842148</v>
      </c>
      <c r="F26" s="31" t="n">
        <v>34332765</v>
      </c>
      <c r="G26" s="15">
        <f>B26/$B$29*100</f>
        <v/>
      </c>
      <c r="H26" s="15">
        <f>C26/$C$29*100</f>
        <v/>
      </c>
      <c r="I26" s="15">
        <f>D26/$D$29*100</f>
        <v/>
      </c>
      <c r="J26" s="15">
        <f>E26/$E$29*100</f>
        <v/>
      </c>
      <c r="K26" s="15">
        <f>F26/$F$29*100</f>
        <v/>
      </c>
      <c r="L26" s="15">
        <f>(C26-B26)/B26*100</f>
        <v/>
      </c>
      <c r="M26" s="15">
        <f>(D26-C26)/C26*100</f>
        <v/>
      </c>
      <c r="N26" s="15">
        <f>(E26-D26)/D26*100</f>
        <v/>
      </c>
      <c r="O26" s="15">
        <f>(F26-E26)/E26*100</f>
        <v/>
      </c>
    </row>
    <row r="27" ht="28.8" customHeight="1">
      <c r="A27" s="10" t="inlineStr">
        <is>
          <t>Резерв по инструментам хеджирования, за вычетом налога</t>
        </is>
      </c>
      <c r="B27" s="31" t="n">
        <v>-11723938</v>
      </c>
      <c r="C27" s="31" t="n">
        <v>-8412107</v>
      </c>
      <c r="D27" s="31" t="n">
        <v>-5489830</v>
      </c>
      <c r="E27" s="31" t="n">
        <v>-1965955</v>
      </c>
      <c r="F27" s="31" t="n">
        <v>-60737</v>
      </c>
      <c r="G27" s="15">
        <f>B27/$B$29*100</f>
        <v/>
      </c>
      <c r="H27" s="15">
        <f>C27/$C$29*100</f>
        <v/>
      </c>
      <c r="I27" s="15">
        <f>D27/$D$29*100</f>
        <v/>
      </c>
      <c r="J27" s="15">
        <f>E27/$E$29*100</f>
        <v/>
      </c>
      <c r="K27" s="15">
        <f>F27/$F$29*100</f>
        <v/>
      </c>
      <c r="L27" s="15">
        <f>(C27-B27)/B27*100</f>
        <v/>
      </c>
      <c r="M27" s="15">
        <f>(D27-C27)/C27*100</f>
        <v/>
      </c>
      <c r="N27" s="15">
        <f>(E27-D27)/D27*100</f>
        <v/>
      </c>
      <c r="O27" s="15">
        <f>(F27-E27)/E27*100</f>
        <v/>
      </c>
    </row>
    <row r="28">
      <c r="A28" s="10" t="inlineStr">
        <is>
          <t>Нераспределенная прибыль</t>
        </is>
      </c>
      <c r="B28" s="31" t="n">
        <v>26749565</v>
      </c>
      <c r="C28" s="31" t="n">
        <v>64377463</v>
      </c>
      <c r="D28" s="31" t="n">
        <v>87599957</v>
      </c>
      <c r="E28" s="31" t="n">
        <v>113985260</v>
      </c>
      <c r="F28" s="31" t="n">
        <v>98936355</v>
      </c>
      <c r="G28" s="15">
        <f>B28/$B$29*100</f>
        <v/>
      </c>
      <c r="H28" s="15">
        <f>C28/$C$29*100</f>
        <v/>
      </c>
      <c r="I28" s="15">
        <f>D28/$D$29*100</f>
        <v/>
      </c>
      <c r="J28" s="15">
        <f>E28/$E$29*100</f>
        <v/>
      </c>
      <c r="K28" s="15">
        <f>F28/$F$29*100</f>
        <v/>
      </c>
      <c r="L28" s="15">
        <f>(C28-B28)/B28*100</f>
        <v/>
      </c>
      <c r="M28" s="15">
        <f>(D28-C28)/C28*100</f>
        <v/>
      </c>
      <c r="N28" s="15">
        <f>(E28-D28)/D28*100</f>
        <v/>
      </c>
      <c r="O28" s="15">
        <f>(F28-E28)/E28*100</f>
        <v/>
      </c>
    </row>
    <row r="29">
      <c r="A29" s="10" t="inlineStr">
        <is>
          <t>Итого собственный капитал</t>
        </is>
      </c>
      <c r="B29" s="31" t="n">
        <v>27623972</v>
      </c>
      <c r="C29" s="31" t="n">
        <v>70446792</v>
      </c>
      <c r="D29" s="31" t="n">
        <v>96984465</v>
      </c>
      <c r="E29" s="31" t="n">
        <v>207171647</v>
      </c>
      <c r="F29" s="31" t="n">
        <v>186699306</v>
      </c>
      <c r="G29" s="15">
        <f>B29/$B$29*100</f>
        <v/>
      </c>
      <c r="H29" s="15">
        <f>C29/$C$29*100</f>
        <v/>
      </c>
      <c r="I29" s="15">
        <f>D29/$D$29*100</f>
        <v/>
      </c>
      <c r="J29" s="15">
        <f>E29/$E$29*100</f>
        <v/>
      </c>
      <c r="K29" s="15">
        <f>F29/$F$29*100</f>
        <v/>
      </c>
      <c r="L29" s="15">
        <f>(C29-B29)/B29*100</f>
        <v/>
      </c>
      <c r="M29" s="15">
        <f>(D29-C29)/C29*100</f>
        <v/>
      </c>
      <c r="N29" s="15">
        <f>(E29-D29)/D29*100</f>
        <v/>
      </c>
      <c r="O29" s="15">
        <f>(F29-E29)/E29*100</f>
        <v/>
      </c>
    </row>
    <row r="30">
      <c r="A30" t="inlineStr">
        <is>
          <t>Долгосрочные обязательства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</row>
    <row r="31">
      <c r="A31" s="10" t="inlineStr">
        <is>
          <t>Займы</t>
        </is>
      </c>
      <c r="B31" s="31" t="n">
        <v>2054936</v>
      </c>
      <c r="C31" s="31" t="n">
        <v>1925549</v>
      </c>
      <c r="D31" s="31" t="n">
        <v>0</v>
      </c>
      <c r="E31" s="31" t="n">
        <v>273582</v>
      </c>
      <c r="F31" s="31" t="n">
        <v>2509956</v>
      </c>
      <c r="G31" s="15">
        <f>B31/$B$43*100</f>
        <v/>
      </c>
      <c r="H31" s="15">
        <f>C31/$C$43*100</f>
        <v/>
      </c>
      <c r="I31" s="15">
        <f>D31/$D$43*100</f>
        <v/>
      </c>
      <c r="J31" s="15">
        <f>E31/$E$43*100</f>
        <v/>
      </c>
      <c r="K31" s="15">
        <f>F31/$F$43*100</f>
        <v/>
      </c>
      <c r="L31" s="15">
        <f>(C31-B31)/B31*100</f>
        <v/>
      </c>
      <c r="M31" s="15">
        <f>(D31-C31)/C31*100</f>
        <v/>
      </c>
      <c r="N31" s="15" t="n">
        <v>0</v>
      </c>
      <c r="O31" s="15">
        <f>(F31-E31)/E31*100</f>
        <v/>
      </c>
    </row>
    <row r="32">
      <c r="A32" s="10" t="inlineStr">
        <is>
          <t>Обязательства по аренде, долгосрочные</t>
        </is>
      </c>
      <c r="B32" s="31" t="n">
        <v>250676740</v>
      </c>
      <c r="C32" s="31" t="n">
        <v>265658719</v>
      </c>
      <c r="D32" s="31" t="n">
        <v>247233366</v>
      </c>
      <c r="E32" s="31" t="n">
        <v>376385720</v>
      </c>
      <c r="F32" s="31" t="n">
        <v>427807796</v>
      </c>
      <c r="G32" s="15">
        <f>B32/$B$43*100</f>
        <v/>
      </c>
      <c r="H32" s="15">
        <f>C32/$C$43*100</f>
        <v/>
      </c>
      <c r="I32" s="15">
        <f>D32/$D$43*100</f>
        <v/>
      </c>
      <c r="J32" s="15">
        <f>E32/$E$43*100</f>
        <v/>
      </c>
      <c r="K32" s="15">
        <f>F32/$F$43*100</f>
        <v/>
      </c>
      <c r="L32" s="15">
        <f>(C32-B32)/B32*100</f>
        <v/>
      </c>
      <c r="M32" s="15">
        <f>(D32-C32)/C32*100</f>
        <v/>
      </c>
      <c r="N32" s="15">
        <f>(E32-D32)/D32*100</f>
        <v/>
      </c>
      <c r="O32" s="15">
        <f>(F32-E32)/E32*100</f>
        <v/>
      </c>
    </row>
    <row r="33" ht="28.8" customHeight="1">
      <c r="A33" s="10" t="inlineStr">
        <is>
          <t>Резерв на техническое обслуживание воздушных судов</t>
        </is>
      </c>
      <c r="B33" s="31" t="n">
        <v>37331701</v>
      </c>
      <c r="C33" s="31" t="n">
        <v>54573269</v>
      </c>
      <c r="D33" s="31" t="n">
        <v>67555798</v>
      </c>
      <c r="E33" s="31" t="n">
        <v>152211535</v>
      </c>
      <c r="F33" s="31" t="n">
        <v>133618151</v>
      </c>
      <c r="G33" s="15">
        <f>B33/$B$43*100</f>
        <v/>
      </c>
      <c r="H33" s="15">
        <f>C33/$C$43*100</f>
        <v/>
      </c>
      <c r="I33" s="15">
        <f>D33/$D$43*100</f>
        <v/>
      </c>
      <c r="J33" s="15">
        <f>E33/$E$43*100</f>
        <v/>
      </c>
      <c r="K33" s="15">
        <f>F33/$F$43*100</f>
        <v/>
      </c>
      <c r="L33" s="15">
        <f>(C33-B33)/B33*100</f>
        <v/>
      </c>
      <c r="M33" s="15">
        <f>(D33-C33)/C33*100</f>
        <v/>
      </c>
      <c r="N33" s="15">
        <f>(E33-D33)/D33*100</f>
        <v/>
      </c>
      <c r="O33" s="15">
        <f>(F33-E33)/E33*100</f>
        <v/>
      </c>
    </row>
    <row r="34">
      <c r="A34" s="10" t="inlineStr">
        <is>
          <t>Вознаграждение работникам</t>
        </is>
      </c>
      <c r="B34" s="31" t="n">
        <v>701675</v>
      </c>
      <c r="C34" s="31" t="n">
        <v>1049290</v>
      </c>
      <c r="D34" s="31" t="n">
        <v>283191</v>
      </c>
      <c r="E34" s="31" t="n">
        <v>429540</v>
      </c>
      <c r="F34" s="31" t="n">
        <v>619780</v>
      </c>
      <c r="G34" s="15">
        <f>B34/$B$43*100</f>
        <v/>
      </c>
      <c r="H34" s="15">
        <f>C34/$C$43*100</f>
        <v/>
      </c>
      <c r="I34" s="15">
        <f>D34/$D$43*100</f>
        <v/>
      </c>
      <c r="J34" s="15">
        <f>E34/$E$43*100</f>
        <v/>
      </c>
      <c r="K34" s="15">
        <f>F34/$F$43*100</f>
        <v/>
      </c>
      <c r="L34" s="15">
        <f>(C34-B34)/B34*100</f>
        <v/>
      </c>
      <c r="M34" s="15">
        <f>(D34-C34)/C34*100</f>
        <v/>
      </c>
      <c r="N34" s="15">
        <f>(E34-D34)/D34*100</f>
        <v/>
      </c>
      <c r="O34" s="15">
        <f>(F34-E34)/E34*100</f>
        <v/>
      </c>
    </row>
    <row r="35">
      <c r="A35" t="inlineStr">
        <is>
          <t>Текущие обязательства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</row>
    <row r="36">
      <c r="A36" s="10" t="inlineStr">
        <is>
          <t>Займы</t>
        </is>
      </c>
      <c r="B36" s="31" t="n">
        <v>24840159</v>
      </c>
      <c r="C36" s="31" t="n">
        <v>3670665</v>
      </c>
      <c r="D36" s="31" t="n">
        <v>187279</v>
      </c>
      <c r="E36" s="31" t="n">
        <v>29406</v>
      </c>
      <c r="F36" s="31" t="n">
        <v>316967</v>
      </c>
      <c r="G36" s="15">
        <f>B36/$B$43*100</f>
        <v/>
      </c>
      <c r="H36" s="15">
        <f>C36/$C$43*100</f>
        <v/>
      </c>
      <c r="I36" s="15">
        <f>D36/$D$43*100</f>
        <v/>
      </c>
      <c r="J36" s="15">
        <f>E36/$E$43*100</f>
        <v/>
      </c>
      <c r="K36" s="15">
        <f>F36/$F$43*100</f>
        <v/>
      </c>
      <c r="L36" s="15">
        <f>(C36-B36)/B36*100</f>
        <v/>
      </c>
      <c r="M36" s="15">
        <f>(D36-C36)/C36*100</f>
        <v/>
      </c>
      <c r="N36" s="15">
        <f>(E36-D36)/D36*100</f>
        <v/>
      </c>
      <c r="O36" s="15">
        <f>(F36-E36)/E36*100</f>
        <v/>
      </c>
    </row>
    <row r="37">
      <c r="A37" s="10" t="inlineStr">
        <is>
          <t>Обязательства по аренде</t>
        </is>
      </c>
      <c r="B37" s="31" t="n">
        <v>63195657</v>
      </c>
      <c r="C37" s="31" t="n">
        <v>73373051</v>
      </c>
      <c r="D37" s="31" t="n">
        <v>79546636</v>
      </c>
      <c r="E37" s="31" t="n">
        <v>90259057</v>
      </c>
      <c r="F37" s="31" t="n">
        <v>100151054</v>
      </c>
      <c r="G37" s="15">
        <f>B37/$B$43*100</f>
        <v/>
      </c>
      <c r="H37" s="15">
        <f>C37/$C$43*100</f>
        <v/>
      </c>
      <c r="I37" s="15">
        <f>D37/$D$43*100</f>
        <v/>
      </c>
      <c r="J37" s="15">
        <f>E37/$E$43*100</f>
        <v/>
      </c>
      <c r="K37" s="15">
        <f>F37/$F$43*100</f>
        <v/>
      </c>
      <c r="L37" s="15">
        <f>(C37-B37)/B37*100</f>
        <v/>
      </c>
      <c r="M37" s="15">
        <f>(D37-C37)/C37*100</f>
        <v/>
      </c>
      <c r="N37" s="15">
        <f>(E37-D37)/D37*100</f>
        <v/>
      </c>
      <c r="O37" s="15">
        <f>(F37-E37)/E37*100</f>
        <v/>
      </c>
    </row>
    <row r="38">
      <c r="A38" s="10" t="inlineStr">
        <is>
          <t>Доходы будущих периодов</t>
        </is>
      </c>
      <c r="B38" s="31" t="n">
        <v>24724868</v>
      </c>
      <c r="C38" s="31" t="n">
        <v>37082323</v>
      </c>
      <c r="D38" s="31" t="n">
        <v>38350318</v>
      </c>
      <c r="E38" s="31" t="n">
        <v>47155403</v>
      </c>
      <c r="F38" s="31" t="n">
        <v>50087407</v>
      </c>
      <c r="G38" s="15">
        <f>B38/$B$43*100</f>
        <v/>
      </c>
      <c r="H38" s="15">
        <f>C38/$C$43*100</f>
        <v/>
      </c>
      <c r="I38" s="15">
        <f>D38/$D$43*100</f>
        <v/>
      </c>
      <c r="J38" s="15">
        <f>E38/$E$43*100</f>
        <v/>
      </c>
      <c r="K38" s="15">
        <f>F38/$F$43*100</f>
        <v/>
      </c>
      <c r="L38" s="15">
        <f>(C38-B38)/B38*100</f>
        <v/>
      </c>
      <c r="M38" s="15">
        <f>(D38-C38)/C38*100</f>
        <v/>
      </c>
      <c r="N38" s="15">
        <f>(E38-D38)/D38*100</f>
        <v/>
      </c>
      <c r="O38" s="15">
        <f>(F38-E38)/E38*100</f>
        <v/>
      </c>
    </row>
    <row r="39" ht="28.8" customHeight="1">
      <c r="A39" s="10" t="inlineStr">
        <is>
          <t>Резерв на техническое обслуживание воздушных судов</t>
        </is>
      </c>
      <c r="B39" s="31" t="n">
        <v>17578578</v>
      </c>
      <c r="C39" s="31" t="n">
        <v>33165065</v>
      </c>
      <c r="D39" s="31" t="n">
        <v>47806075</v>
      </c>
      <c r="E39" s="31" t="n">
        <v>13269005</v>
      </c>
      <c r="F39" s="31" t="n">
        <v>69165098</v>
      </c>
      <c r="G39" s="15">
        <f>B39/$B$43*100</f>
        <v/>
      </c>
      <c r="H39" s="15">
        <f>C39/$C$43*100</f>
        <v/>
      </c>
      <c r="I39" s="15">
        <f>D39/$D$43*100</f>
        <v/>
      </c>
      <c r="J39" s="15">
        <f>E39/$E$43*100</f>
        <v/>
      </c>
      <c r="K39" s="15">
        <f>F39/$F$43*100</f>
        <v/>
      </c>
      <c r="L39" s="15">
        <f>(C39-B39)/B39*100</f>
        <v/>
      </c>
      <c r="M39" s="15">
        <f>(D39-C39)/C39*100</f>
        <v/>
      </c>
      <c r="N39" s="15">
        <f>(E39-D39)/D39*100</f>
        <v/>
      </c>
      <c r="O39" s="15">
        <f>(F39-E39)/E39*100</f>
        <v/>
      </c>
    </row>
    <row r="40" ht="28.8" customHeight="1">
      <c r="A40" s="10" t="inlineStr">
        <is>
          <t>Торговая и прочая кредиторская задолженность</t>
        </is>
      </c>
      <c r="B40" s="31" t="n">
        <v>27198650</v>
      </c>
      <c r="C40" s="31" t="n">
        <v>37662023</v>
      </c>
      <c r="D40" s="31" t="n">
        <v>41365415</v>
      </c>
      <c r="E40" s="31" t="n">
        <v>64878916</v>
      </c>
      <c r="F40" s="31" t="n">
        <v>62387963</v>
      </c>
      <c r="G40" s="15">
        <f>B40/$B$43*100</f>
        <v/>
      </c>
      <c r="H40" s="15">
        <f>C40/$C$43*100</f>
        <v/>
      </c>
      <c r="I40" s="15">
        <f>D40/$D$43*100</f>
        <v/>
      </c>
      <c r="J40" s="15">
        <f>E40/$E$43*100</f>
        <v/>
      </c>
      <c r="K40" s="15">
        <f>F40/$F$43*100</f>
        <v/>
      </c>
      <c r="L40" s="15">
        <f>(C40-B40)/B40*100</f>
        <v/>
      </c>
      <c r="M40" s="15">
        <f>(D40-C40)/C40*100</f>
        <v/>
      </c>
      <c r="N40" s="15">
        <f>(E40-D40)/D40*100</f>
        <v/>
      </c>
      <c r="O40" s="15">
        <f>(F40-E40)/E40*100</f>
        <v/>
      </c>
    </row>
    <row r="41">
      <c r="A41" s="10" t="inlineStr">
        <is>
          <t>Прочие финансовые обязательства</t>
        </is>
      </c>
      <c r="B41" s="31" t="n">
        <v>0</v>
      </c>
      <c r="C41" s="31" t="n">
        <v>110573</v>
      </c>
      <c r="D41" s="31" t="n">
        <v>0</v>
      </c>
      <c r="E41" s="31" t="n">
        <v>0</v>
      </c>
      <c r="F41" s="31" t="n">
        <v>0</v>
      </c>
      <c r="G41" s="15">
        <f>B41/$B$43*100</f>
        <v/>
      </c>
      <c r="H41" s="15">
        <f>C41/$C$43*100</f>
        <v/>
      </c>
      <c r="I41" s="15">
        <f>D41/$D$43*100</f>
        <v/>
      </c>
      <c r="J41" s="15">
        <f>E41/$E$43*100</f>
        <v/>
      </c>
      <c r="K41" s="15">
        <f>F41/$F$43*100</f>
        <v/>
      </c>
      <c r="L41" s="15" t="n">
        <v>0</v>
      </c>
      <c r="M41" s="15">
        <f>(D41-C41)/C41*100</f>
        <v/>
      </c>
      <c r="N41" s="15" t="n">
        <v>0</v>
      </c>
      <c r="O41" s="15" t="n">
        <v>0</v>
      </c>
    </row>
    <row r="42">
      <c r="A42" s="10" t="inlineStr">
        <is>
          <t>Подоходный налог к уплате</t>
        </is>
      </c>
      <c r="B42" s="31" t="n">
        <v>0</v>
      </c>
      <c r="C42" s="31" t="n">
        <v>0</v>
      </c>
      <c r="D42" s="31" t="n">
        <v>0</v>
      </c>
      <c r="E42" s="31" t="n">
        <v>0</v>
      </c>
      <c r="F42" s="31" t="n">
        <v>6299915</v>
      </c>
      <c r="G42" s="15">
        <f>B42/$B$43*100</f>
        <v/>
      </c>
      <c r="H42" s="15">
        <f>C42/$C$43*100</f>
        <v/>
      </c>
      <c r="I42" s="15">
        <f>D42/$D$43*100</f>
        <v/>
      </c>
      <c r="J42" s="15">
        <f>E42/$E$43*100</f>
        <v/>
      </c>
      <c r="K42" s="15">
        <f>F42/$F$43*100</f>
        <v/>
      </c>
      <c r="L42" s="15" t="n">
        <v>0</v>
      </c>
      <c r="M42" s="15" t="n">
        <v>0</v>
      </c>
      <c r="N42" s="15" t="n">
        <v>0</v>
      </c>
      <c r="O42" s="15" t="n">
        <v>0</v>
      </c>
    </row>
    <row r="43">
      <c r="A43" s="10" t="inlineStr">
        <is>
          <t>Итого обязательства</t>
        </is>
      </c>
      <c r="B43" s="31" t="n">
        <v>448302964</v>
      </c>
      <c r="C43" s="31" t="n">
        <v>508270527</v>
      </c>
      <c r="D43" s="31" t="n">
        <v>522328078</v>
      </c>
      <c r="E43" s="31" t="n">
        <v>744892164</v>
      </c>
      <c r="F43" s="31" t="n">
        <v>852964087</v>
      </c>
      <c r="G43" s="15">
        <f>B43/$B$43*100</f>
        <v/>
      </c>
      <c r="H43" s="15">
        <f>C43/$C$43*100</f>
        <v/>
      </c>
      <c r="I43" s="15">
        <f>D43/$D$43*100</f>
        <v/>
      </c>
      <c r="J43" s="15">
        <f>E43/$E$43*100</f>
        <v/>
      </c>
      <c r="K43" s="15">
        <f>F43/$F$43*100</f>
        <v/>
      </c>
      <c r="L43" s="15">
        <f>(C43-B43)/B43*100</f>
        <v/>
      </c>
      <c r="M43" s="15">
        <f>(D43-C43)/C43*100</f>
        <v/>
      </c>
      <c r="N43" s="15">
        <f>(E43-D43)/D43*100</f>
        <v/>
      </c>
      <c r="O43" s="15">
        <f>(F43-E43)/E43*100</f>
        <v/>
      </c>
    </row>
    <row r="44" ht="28.8" customHeight="1">
      <c r="A44" s="10" t="inlineStr">
        <is>
          <t>Итого собственный капитал и обязательства</t>
        </is>
      </c>
      <c r="B44" s="31" t="n">
        <v>475926936</v>
      </c>
      <c r="C44" s="31" t="n">
        <v>578717319</v>
      </c>
      <c r="D44" s="31" t="n">
        <v>619312543</v>
      </c>
      <c r="E44" s="31" t="n">
        <v>952063811</v>
      </c>
      <c r="F44" s="31" t="n">
        <v>1039663393</v>
      </c>
      <c r="G44" s="15">
        <f>B44/$B$44*100</f>
        <v/>
      </c>
      <c r="H44" s="15">
        <f>C44/$C$44*100</f>
        <v/>
      </c>
      <c r="I44" s="15">
        <f>D44/$D$44*100</f>
        <v/>
      </c>
      <c r="J44" s="15">
        <f>E44/$E$44*100</f>
        <v/>
      </c>
      <c r="K44" s="15">
        <f>F44/$F$44*100</f>
        <v/>
      </c>
      <c r="L44" s="15">
        <f>(C44-B44)/B44*100</f>
        <v/>
      </c>
      <c r="M44" s="15">
        <f>(D44-C44)/C44*100</f>
        <v/>
      </c>
      <c r="N44" s="15">
        <f>(E44-D44)/D44*100</f>
        <v/>
      </c>
      <c r="O44" s="15">
        <f>(F44-E44)/E44*100</f>
        <v/>
      </c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showGridLines="1" zoomScale="63" zoomScaleNormal="63"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O6" sqref="O6"/>
    </sheetView>
  </sheetViews>
  <sheetFormatPr baseColWidth="8" defaultColWidth="9" defaultRowHeight="14.4"/>
  <cols>
    <col width="36.712962962963" customWidth="1" min="1" max="1"/>
    <col width="15.712962962963" customWidth="1" min="2" max="6"/>
    <col width="18.712962962963" customWidth="1" min="7" max="11"/>
    <col width="22.712962962963" customWidth="1" min="12" max="15"/>
  </cols>
  <sheetData>
    <row r="1" ht="28.8" customHeight="1">
      <c r="A1" s="14" t="inlineStr">
        <is>
          <t>тыс.тенге</t>
        </is>
      </c>
      <c r="B1" s="14" t="n">
        <v>2021</v>
      </c>
      <c r="C1" s="14" t="n">
        <v>2022</v>
      </c>
      <c r="D1" s="14" t="n">
        <v>2023</v>
      </c>
      <c r="E1" s="14" t="n">
        <v>2024</v>
      </c>
      <c r="F1" s="14" t="n">
        <v>2025</v>
      </c>
      <c r="G1" s="14" t="inlineStr">
        <is>
          <t>Удельный вес 2021,%</t>
        </is>
      </c>
      <c r="H1" s="14" t="inlineStr">
        <is>
          <t>Удельный вес 2022,%</t>
        </is>
      </c>
      <c r="I1" s="14" t="inlineStr">
        <is>
          <t>Удельный вес 2023,%</t>
        </is>
      </c>
      <c r="J1" s="14" t="inlineStr">
        <is>
          <t>Удельный вес 2024,%</t>
        </is>
      </c>
      <c r="K1" s="14" t="inlineStr">
        <is>
          <t>Удельный вес 2025,%</t>
        </is>
      </c>
      <c r="L1" s="14" t="inlineStr">
        <is>
          <t>Темп прироста 2021-2022,%</t>
        </is>
      </c>
      <c r="M1" s="14" t="inlineStr">
        <is>
          <t>Темп прироста 2022-2023,%</t>
        </is>
      </c>
      <c r="N1" s="14" t="inlineStr">
        <is>
          <t>Темп прироста 2023-2024,%</t>
        </is>
      </c>
      <c r="O1" s="14" t="inlineStr">
        <is>
          <t>Темп прироста 2024-2025,%</t>
        </is>
      </c>
    </row>
    <row r="2">
      <c r="A2" t="inlineStr">
        <is>
          <t>Выручка и прочие доходы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</row>
    <row r="3">
      <c r="A3" s="10" t="inlineStr">
        <is>
          <t>Пассажирские перевозки</t>
        </is>
      </c>
      <c r="B3" s="31" t="n">
        <v>305252639</v>
      </c>
      <c r="C3" s="31" t="n">
        <v>462171919</v>
      </c>
      <c r="D3" s="31" t="n">
        <v>521074736</v>
      </c>
      <c r="E3" s="31" t="n">
        <v>585810042</v>
      </c>
      <c r="F3" s="31" t="n">
        <v>721046502</v>
      </c>
      <c r="G3" s="15">
        <f>B3/$B$7*100</f>
        <v/>
      </c>
      <c r="H3" s="15">
        <f>C3/$C$7*100</f>
        <v/>
      </c>
      <c r="I3" s="15">
        <f>D3/$D$7*100</f>
        <v/>
      </c>
      <c r="J3" s="15">
        <f>E3/$E$7*100</f>
        <v/>
      </c>
      <c r="K3" s="15">
        <f>F3/$F$7*100</f>
        <v/>
      </c>
      <c r="L3" s="15">
        <f>(C3-B3)/B3*100</f>
        <v/>
      </c>
      <c r="M3" s="15">
        <f>(D3-C3)/C3*100</f>
        <v/>
      </c>
      <c r="N3" s="15">
        <f>(E3-D3)/D3*100</f>
        <v/>
      </c>
      <c r="O3" s="15">
        <f>(F3-E3)/E3*100</f>
        <v/>
      </c>
    </row>
    <row r="4">
      <c r="A4" s="10" t="inlineStr">
        <is>
          <t>Груз и почта</t>
        </is>
      </c>
      <c r="B4" s="31" t="n">
        <v>14304293</v>
      </c>
      <c r="C4" s="31" t="n">
        <v>10209425</v>
      </c>
      <c r="D4" s="31" t="n">
        <v>10284481</v>
      </c>
      <c r="E4" s="31" t="n">
        <v>12413214</v>
      </c>
      <c r="F4" s="31" t="n">
        <v>14272406</v>
      </c>
      <c r="G4" s="15">
        <f>B4/$B$7*100</f>
        <v/>
      </c>
      <c r="H4" s="15">
        <f>C4/$C$7*100</f>
        <v/>
      </c>
      <c r="I4" s="15">
        <f>D4/$D$7*100</f>
        <v/>
      </c>
      <c r="J4" s="15">
        <f>E4/$E$7*100</f>
        <v/>
      </c>
      <c r="K4" s="15">
        <f>F4/$F$7*100</f>
        <v/>
      </c>
      <c r="L4" s="15">
        <f>(C4-B4)/B4*100</f>
        <v/>
      </c>
      <c r="M4" s="15">
        <f>(D4-C4)/C4*100</f>
        <v/>
      </c>
      <c r="N4" s="15">
        <f>(E4-D4)/D4*100</f>
        <v/>
      </c>
      <c r="O4" s="15">
        <f>(F4-E4)/E4*100</f>
        <v/>
      </c>
    </row>
    <row r="5">
      <c r="A5" s="10" t="inlineStr">
        <is>
          <t>Прочие доходы</t>
        </is>
      </c>
      <c r="B5" s="31" t="n">
        <v>3360585</v>
      </c>
      <c r="C5" s="31" t="n">
        <v>5600474</v>
      </c>
      <c r="D5" s="31" t="n">
        <v>3810285</v>
      </c>
      <c r="E5" s="31" t="n">
        <v>5427382</v>
      </c>
      <c r="F5" s="31" t="n">
        <v>4391707</v>
      </c>
      <c r="G5" s="15">
        <f>B5/$B$7*100</f>
        <v/>
      </c>
      <c r="H5" s="15">
        <f>C5/$C$7*100</f>
        <v/>
      </c>
      <c r="I5" s="15">
        <f>D5/$D$7*100</f>
        <v/>
      </c>
      <c r="J5" s="15">
        <f>E5/$E$7*100</f>
        <v/>
      </c>
      <c r="K5" s="15">
        <f>F5/$F$7*100</f>
        <v/>
      </c>
      <c r="L5" s="15">
        <f>(C5-B5)/B5*100</f>
        <v/>
      </c>
      <c r="M5" s="15">
        <f>(D5-C5)/C5*100</f>
        <v/>
      </c>
      <c r="N5" s="15">
        <f>(E5-D5)/D5*100</f>
        <v/>
      </c>
      <c r="O5" s="15">
        <f>(F5-E5)/E5*100</f>
        <v/>
      </c>
    </row>
    <row r="6" ht="28.8" customHeight="1">
      <c r="A6" s="10" t="inlineStr">
        <is>
          <t>Прибыль от продажи с обратной арендой</t>
        </is>
      </c>
      <c r="B6" s="31" t="n">
        <v>1989207</v>
      </c>
      <c r="C6" s="31" t="n">
        <v>0</v>
      </c>
      <c r="D6" s="31" t="n">
        <v>0</v>
      </c>
      <c r="E6" s="31" t="n">
        <v>12501395</v>
      </c>
      <c r="F6" s="31" t="n">
        <v>19256118</v>
      </c>
      <c r="G6" s="15">
        <f>B6/$B$7*100</f>
        <v/>
      </c>
      <c r="H6" s="15">
        <f>C6/$C$7*100</f>
        <v/>
      </c>
      <c r="I6" s="15">
        <f>D6/$D$7*100</f>
        <v/>
      </c>
      <c r="J6" s="15">
        <f>E6/$E$7*100</f>
        <v/>
      </c>
      <c r="K6" s="15">
        <f>F6/$F$7*100</f>
        <v/>
      </c>
      <c r="L6" s="15">
        <f>(C6-B6)/B6*100</f>
        <v/>
      </c>
      <c r="M6" s="15" t="n">
        <v>0</v>
      </c>
      <c r="N6" s="15" t="n">
        <v>0</v>
      </c>
      <c r="O6" s="15">
        <f>(F6-E6)/E6*100</f>
        <v/>
      </c>
    </row>
    <row r="7">
      <c r="A7" s="10" t="inlineStr">
        <is>
          <t>Всего выручки и прочих доходов</t>
        </is>
      </c>
      <c r="B7" s="31" t="n">
        <v>324906724</v>
      </c>
      <c r="C7" s="31" t="n">
        <v>477981818</v>
      </c>
      <c r="D7" s="31" t="n">
        <v>535169502</v>
      </c>
      <c r="E7" s="31" t="n">
        <v>616152033</v>
      </c>
      <c r="F7" s="31" t="n">
        <v>758966733</v>
      </c>
      <c r="G7" s="15">
        <f>B7/$B$7*100</f>
        <v/>
      </c>
      <c r="H7" s="15">
        <f>C7/$C$7*100</f>
        <v/>
      </c>
      <c r="I7" s="15">
        <f>D7/$D$7*100</f>
        <v/>
      </c>
      <c r="J7" s="15">
        <f>E7/$E$7*100</f>
        <v/>
      </c>
      <c r="K7" s="15">
        <f>F7/$F$7*100</f>
        <v/>
      </c>
      <c r="L7" s="15">
        <f>(C7-B7)/B7*100</f>
        <v/>
      </c>
      <c r="M7" s="15">
        <f>(D7-C7)/C7*100</f>
        <v/>
      </c>
      <c r="N7" s="15">
        <f>(E7-D7)/D7*100</f>
        <v/>
      </c>
      <c r="O7" s="15">
        <f>(F7-E7)/E7*100</f>
        <v/>
      </c>
    </row>
    <row r="8">
      <c r="A8" t="inlineStr">
        <is>
          <t>Операционные расходы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10" t="inlineStr">
        <is>
          <t>Топливо</t>
        </is>
      </c>
      <c r="B9" s="31" t="n">
        <v>-58279112</v>
      </c>
      <c r="C9" s="31" t="n">
        <v>-106940565</v>
      </c>
      <c r="D9" s="31" t="n">
        <v>-127357770</v>
      </c>
      <c r="E9" s="31" t="n">
        <v>-143373122</v>
      </c>
      <c r="F9" s="31" t="n">
        <v>-173137790</v>
      </c>
      <c r="G9" s="15">
        <f>B9/$B$7*100</f>
        <v/>
      </c>
      <c r="H9" s="15">
        <f>C9/$C$7*100</f>
        <v/>
      </c>
      <c r="I9" s="15">
        <f>D9/$D$7*100</f>
        <v/>
      </c>
      <c r="J9" s="15">
        <f>E9/$E$7*100</f>
        <v/>
      </c>
      <c r="K9" s="15">
        <f>F9/$F$7*100</f>
        <v/>
      </c>
      <c r="L9" s="15">
        <f>(C9-B9)/B9*100</f>
        <v/>
      </c>
      <c r="M9" s="15">
        <f>(D9-C9)/C9*100</f>
        <v/>
      </c>
      <c r="N9" s="15">
        <f>(E9-D9)/D9*100</f>
        <v/>
      </c>
      <c r="O9" s="15">
        <f>(F9-E9)/E9*100</f>
        <v/>
      </c>
    </row>
    <row r="10">
      <c r="A10" s="10" t="inlineStr">
        <is>
          <t>Расходы по персоналу и экипажу</t>
        </is>
      </c>
      <c r="B10" s="31" t="n">
        <v>-49590527</v>
      </c>
      <c r="C10" s="31" t="n">
        <v>-68827926</v>
      </c>
      <c r="D10" s="31" t="n">
        <v>-88102136</v>
      </c>
      <c r="E10" s="31" t="n">
        <v>-106675293</v>
      </c>
      <c r="F10" s="31" t="n">
        <v>-136144112</v>
      </c>
      <c r="G10" s="15">
        <f>B10/$B$7*100</f>
        <v/>
      </c>
      <c r="H10" s="15">
        <f>C10/$C$7*100</f>
        <v/>
      </c>
      <c r="I10" s="15">
        <f>D10/$D$7*100</f>
        <v/>
      </c>
      <c r="J10" s="15">
        <f>E10/$E$7*100</f>
        <v/>
      </c>
      <c r="K10" s="15">
        <f>F10/$F$7*100</f>
        <v/>
      </c>
      <c r="L10" s="15">
        <f>(C10-B10)/B10*100</f>
        <v/>
      </c>
      <c r="M10" s="15">
        <f>(D10-C10)/C10*100</f>
        <v/>
      </c>
      <c r="N10" s="15">
        <f>(E10-D10)/D10*100</f>
        <v/>
      </c>
      <c r="O10" s="15">
        <f>(F10-E10)/E10*100</f>
        <v/>
      </c>
    </row>
    <row r="11">
      <c r="A11" s="10" t="inlineStr">
        <is>
          <t>Износ и амортизация</t>
        </is>
      </c>
      <c r="B11" s="31" t="n">
        <v>-51484170</v>
      </c>
      <c r="C11" s="31" t="n">
        <v>-62243853</v>
      </c>
      <c r="D11" s="31" t="n">
        <v>-73944311</v>
      </c>
      <c r="E11" s="31" t="n">
        <v>-88717693</v>
      </c>
      <c r="F11" s="31" t="n">
        <v>-119792081</v>
      </c>
      <c r="G11" s="15">
        <f>B11/$B$7*100</f>
        <v/>
      </c>
      <c r="H11" s="15">
        <f>C11/$C$7*100</f>
        <v/>
      </c>
      <c r="I11" s="15">
        <f>D11/$D$7*100</f>
        <v/>
      </c>
      <c r="J11" s="15">
        <f>E11/$E$7*100</f>
        <v/>
      </c>
      <c r="K11" s="15">
        <f>F11/$F$7*100</f>
        <v/>
      </c>
      <c r="L11" s="15">
        <f>(C11-B11)/B11*100</f>
        <v/>
      </c>
      <c r="M11" s="15">
        <f>(D11-C11)/C11*100</f>
        <v/>
      </c>
      <c r="N11" s="15">
        <f>(E11-D11)/D11*100</f>
        <v/>
      </c>
      <c r="O11" s="15">
        <f>(F11-E11)/E11*100</f>
        <v/>
      </c>
    </row>
    <row r="12">
      <c r="A12" s="10" t="inlineStr">
        <is>
          <t>Инженерно-техническое обслуживание</t>
        </is>
      </c>
      <c r="B12" s="31" t="n">
        <v>-40324060</v>
      </c>
      <c r="C12" s="31" t="n">
        <v>-58228907</v>
      </c>
      <c r="D12" s="31" t="n">
        <v>-49388554</v>
      </c>
      <c r="E12" s="31" t="n">
        <v>-55443453</v>
      </c>
      <c r="F12" s="31" t="n">
        <v>-76101528</v>
      </c>
      <c r="G12" s="15">
        <f>B12/$B$7*100</f>
        <v/>
      </c>
      <c r="H12" s="15">
        <f>C12/$C$7*100</f>
        <v/>
      </c>
      <c r="I12" s="15">
        <f>D12/$D$7*100</f>
        <v/>
      </c>
      <c r="J12" s="15">
        <f>E12/$E$7*100</f>
        <v/>
      </c>
      <c r="K12" s="15">
        <f>F12/$F$7*100</f>
        <v/>
      </c>
      <c r="L12" s="15">
        <f>(C12-B12)/B12*100</f>
        <v/>
      </c>
      <c r="M12" s="15">
        <f>(D12-C12)/C12*100</f>
        <v/>
      </c>
      <c r="N12" s="15">
        <f>(E12-D12)/D12*100</f>
        <v/>
      </c>
      <c r="O12" s="15">
        <f>(F12-E12)/E12*100</f>
        <v/>
      </c>
    </row>
    <row r="13" ht="28.8" customHeight="1">
      <c r="A13" s="10" t="inlineStr">
        <is>
          <t>Аэропортовое обслуживание и навигация</t>
        </is>
      </c>
      <c r="B13" s="31" t="n">
        <v>-29879880</v>
      </c>
      <c r="C13" s="31" t="n">
        <v>-39205987</v>
      </c>
      <c r="D13" s="31" t="n">
        <v>-48241120</v>
      </c>
      <c r="E13" s="31" t="n">
        <v>-56732135</v>
      </c>
      <c r="F13" s="31" t="n">
        <v>-73605152</v>
      </c>
      <c r="G13" s="15">
        <f>B13/$B$7*100</f>
        <v/>
      </c>
      <c r="H13" s="15">
        <f>C13/$C$7*100</f>
        <v/>
      </c>
      <c r="I13" s="15">
        <f>D13/$D$7*100</f>
        <v/>
      </c>
      <c r="J13" s="15">
        <f>E13/$E$7*100</f>
        <v/>
      </c>
      <c r="K13" s="15">
        <f>F13/$F$7*100</f>
        <v/>
      </c>
      <c r="L13" s="15">
        <f>(C13-B13)/B13*100</f>
        <v/>
      </c>
      <c r="M13" s="15">
        <f>(D13-C13)/C13*100</f>
        <v/>
      </c>
      <c r="N13" s="15">
        <f>(E13-D13)/D13*100</f>
        <v/>
      </c>
      <c r="O13" s="15">
        <f>(F13-E13)/E13*100</f>
        <v/>
      </c>
    </row>
    <row r="14">
      <c r="A14" s="10" t="inlineStr">
        <is>
          <t>Обслуживание пассажиров</t>
        </is>
      </c>
      <c r="B14" s="31" t="n">
        <v>-25961531</v>
      </c>
      <c r="C14" s="31" t="n">
        <v>-37131951</v>
      </c>
      <c r="D14" s="31" t="n">
        <v>-46124472</v>
      </c>
      <c r="E14" s="31" t="n">
        <v>-55787727</v>
      </c>
      <c r="F14" s="31" t="n">
        <v>-73426414</v>
      </c>
      <c r="G14" s="15">
        <f>B14/$B$7*100</f>
        <v/>
      </c>
      <c r="H14" s="15">
        <f>C14/$C$7*100</f>
        <v/>
      </c>
      <c r="I14" s="15">
        <f>D14/$D$7*100</f>
        <v/>
      </c>
      <c r="J14" s="15">
        <f>E14/$E$7*100</f>
        <v/>
      </c>
      <c r="K14" s="15">
        <f>F14/$F$7*100</f>
        <v/>
      </c>
      <c r="L14" s="15">
        <f>(C14-B14)/B14*100</f>
        <v/>
      </c>
      <c r="M14" s="15">
        <f>(D14-C14)/C14*100</f>
        <v/>
      </c>
      <c r="N14" s="15">
        <f>(E14-D14)/D14*100</f>
        <v/>
      </c>
      <c r="O14" s="15">
        <f>(F14-E14)/E14*100</f>
        <v/>
      </c>
    </row>
    <row r="15">
      <c r="A15" s="10" t="inlineStr">
        <is>
          <t>Расходы по реализации</t>
        </is>
      </c>
      <c r="B15" s="31" t="n">
        <v>-10686310</v>
      </c>
      <c r="C15" s="31" t="n">
        <v>-15334093</v>
      </c>
      <c r="D15" s="31" t="n">
        <v>-18444763</v>
      </c>
      <c r="E15" s="31" t="n">
        <v>-20777116</v>
      </c>
      <c r="F15" s="31" t="n">
        <v>-26630517</v>
      </c>
      <c r="G15" s="15">
        <f>B15/$B$7*100</f>
        <v/>
      </c>
      <c r="H15" s="15">
        <f>C15/$C$7*100</f>
        <v/>
      </c>
      <c r="I15" s="15">
        <f>D15/$D$7*100</f>
        <v/>
      </c>
      <c r="J15" s="15">
        <f>E15/$E$7*100</f>
        <v/>
      </c>
      <c r="K15" s="15">
        <f>F15/$F$7*100</f>
        <v/>
      </c>
      <c r="L15" s="15">
        <f>(C15-B15)/B15*100</f>
        <v/>
      </c>
      <c r="M15" s="15">
        <f>(D15-C15)/C15*100</f>
        <v/>
      </c>
      <c r="N15" s="15">
        <f>(E15-D15)/D15*100</f>
        <v/>
      </c>
      <c r="O15" s="15">
        <f>(F15-E15)/E15*100</f>
        <v/>
      </c>
    </row>
    <row r="16">
      <c r="A16" s="10" t="inlineStr">
        <is>
          <t>Страхование</t>
        </is>
      </c>
      <c r="B16" s="31" t="n">
        <v>-3428108</v>
      </c>
      <c r="C16" s="31" t="n">
        <v>-3880892</v>
      </c>
      <c r="D16" s="31" t="n">
        <v>-5011359</v>
      </c>
      <c r="E16" s="31" t="n">
        <v>-6013245</v>
      </c>
      <c r="F16" s="31" t="n">
        <v>-7057271</v>
      </c>
      <c r="G16" s="15">
        <f>B16/$B$7*100</f>
        <v/>
      </c>
      <c r="H16" s="15">
        <f>C16/$C$7*100</f>
        <v/>
      </c>
      <c r="I16" s="15">
        <f>D16/$D$7*100</f>
        <v/>
      </c>
      <c r="J16" s="15">
        <f>E16/$E$7*100</f>
        <v/>
      </c>
      <c r="K16" s="15">
        <f>F16/$F$7*100</f>
        <v/>
      </c>
      <c r="L16" s="15">
        <f>(C16-B16)/B16*100</f>
        <v/>
      </c>
      <c r="M16" s="15">
        <f>(D16-C16)/C16*100</f>
        <v/>
      </c>
      <c r="N16" s="15">
        <f>(E16-D16)/D16*100</f>
        <v/>
      </c>
      <c r="O16" s="15">
        <f>(F16-E16)/E16*100</f>
        <v/>
      </c>
    </row>
    <row r="17">
      <c r="A17" s="10" t="inlineStr">
        <is>
          <t>Информационные технологии</t>
        </is>
      </c>
      <c r="B17" s="31" t="n">
        <v>-1951534</v>
      </c>
      <c r="C17" s="31" t="n">
        <v>-2646693</v>
      </c>
      <c r="D17" s="31" t="n">
        <v>-2980328</v>
      </c>
      <c r="E17" s="31" t="n">
        <v>-3224735</v>
      </c>
      <c r="F17" s="31" t="n">
        <v>-4203971</v>
      </c>
      <c r="G17" s="15">
        <f>B17/$B$7*100</f>
        <v/>
      </c>
      <c r="H17" s="15">
        <f>C17/$C$7*100</f>
        <v/>
      </c>
      <c r="I17" s="15">
        <f>D17/$D$7*100</f>
        <v/>
      </c>
      <c r="J17" s="15">
        <f>E17/$E$7*100</f>
        <v/>
      </c>
      <c r="K17" s="15">
        <f>F17/$F$7*100</f>
        <v/>
      </c>
      <c r="L17" s="15">
        <f>(C17-B17)/B17*100</f>
        <v/>
      </c>
      <c r="M17" s="15">
        <f>(D17-C17)/C17*100</f>
        <v/>
      </c>
      <c r="N17" s="15">
        <f>(E17-D17)/D17*100</f>
        <v/>
      </c>
      <c r="O17" s="15">
        <f>(F17-E17)/E17*100</f>
        <v/>
      </c>
    </row>
    <row r="18" ht="28.8" customHeight="1">
      <c r="A18" s="10" t="inlineStr">
        <is>
          <t>Консультационные и профессиональные услуги</t>
        </is>
      </c>
      <c r="B18" s="31" t="n">
        <v>-1448480</v>
      </c>
      <c r="C18" s="31" t="n">
        <v>-1976378</v>
      </c>
      <c r="D18" s="31" t="n">
        <v>-2631258</v>
      </c>
      <c r="E18" s="31" t="n">
        <v>-3874604</v>
      </c>
      <c r="F18" s="31" t="n">
        <v>-3088882</v>
      </c>
      <c r="G18" s="15">
        <f>B18/$B$7*100</f>
        <v/>
      </c>
      <c r="H18" s="15">
        <f>C18/$C$7*100</f>
        <v/>
      </c>
      <c r="I18" s="15">
        <f>D18/$D$7*100</f>
        <v/>
      </c>
      <c r="J18" s="15">
        <f>E18/$E$7*100</f>
        <v/>
      </c>
      <c r="K18" s="15">
        <f>F18/$F$7*100</f>
        <v/>
      </c>
      <c r="L18" s="15">
        <f>(C18-B18)/B18*100</f>
        <v/>
      </c>
      <c r="M18" s="15">
        <f>(D18-C18)/C18*100</f>
        <v/>
      </c>
      <c r="N18" s="15">
        <f>(E18-D18)/D18*100</f>
        <v/>
      </c>
      <c r="O18" s="15">
        <f>(F18-E18)/E18*100</f>
        <v/>
      </c>
    </row>
    <row r="19">
      <c r="A19" s="10" t="inlineStr">
        <is>
          <t>Налоги</t>
        </is>
      </c>
      <c r="B19" s="31" t="n">
        <v>-1066338</v>
      </c>
      <c r="C19" s="31" t="n">
        <v>-677929</v>
      </c>
      <c r="D19" s="31" t="n">
        <v>-1787829</v>
      </c>
      <c r="E19" s="31" t="n">
        <v>-2043010</v>
      </c>
      <c r="F19" s="31" t="n">
        <v>-2931190</v>
      </c>
      <c r="G19" s="15">
        <f>B19/$B$7*100</f>
        <v/>
      </c>
      <c r="H19" s="15">
        <f>C19/$C$7*100</f>
        <v/>
      </c>
      <c r="I19" s="15">
        <f>D19/$D$7*100</f>
        <v/>
      </c>
      <c r="J19" s="15">
        <f>E19/$E$7*100</f>
        <v/>
      </c>
      <c r="K19" s="15">
        <f>F19/$F$7*100</f>
        <v/>
      </c>
      <c r="L19" s="15">
        <f>(C19-B19)/B19*100</f>
        <v/>
      </c>
      <c r="M19" s="15">
        <f>(D19-C19)/C19*100</f>
        <v/>
      </c>
      <c r="N19" s="15">
        <f>(E19-D19)/D19*100</f>
        <v/>
      </c>
      <c r="O19" s="15">
        <f>(F19-E19)/E19*100</f>
        <v/>
      </c>
    </row>
    <row r="20">
      <c r="A20" s="10" t="inlineStr">
        <is>
          <t>Расходы по имуществу и офису</t>
        </is>
      </c>
      <c r="B20" s="31" t="n">
        <v>-1124388</v>
      </c>
      <c r="C20" s="31" t="n">
        <v>-1144309</v>
      </c>
      <c r="D20" s="31" t="n">
        <v>-1766071</v>
      </c>
      <c r="E20" s="31" t="n">
        <v>-2200684</v>
      </c>
      <c r="F20" s="31" t="n">
        <v>-2525083</v>
      </c>
      <c r="G20" s="15">
        <f>B20/$B$7*100</f>
        <v/>
      </c>
      <c r="H20" s="15">
        <f>C20/$C$7*100</f>
        <v/>
      </c>
      <c r="I20" s="15">
        <f>D20/$D$7*100</f>
        <v/>
      </c>
      <c r="J20" s="15">
        <f>E20/$E$7*100</f>
        <v/>
      </c>
      <c r="K20" s="15">
        <f>F20/$F$7*100</f>
        <v/>
      </c>
      <c r="L20" s="15">
        <f>(C20-B20)/B20*100</f>
        <v/>
      </c>
      <c r="M20" s="15">
        <f>(D20-C20)/C20*100</f>
        <v/>
      </c>
      <c r="N20" s="15">
        <f>(E20-D20)/D20*100</f>
        <v/>
      </c>
      <c r="O20" s="15">
        <f>(F20-E20)/E20*100</f>
        <v/>
      </c>
    </row>
    <row r="21" ht="28.8" customHeight="1">
      <c r="A21" s="10" t="inlineStr">
        <is>
          <t>Переменные расходы по аренде воздушных судов</t>
        </is>
      </c>
      <c r="B21" s="31" t="n">
        <v>-1561520</v>
      </c>
      <c r="C21" s="31" t="n">
        <v>-1780324</v>
      </c>
      <c r="D21" s="31" t="n">
        <v>-1000743</v>
      </c>
      <c r="E21" s="31" t="n">
        <v>-2384213</v>
      </c>
      <c r="F21" s="31" t="n">
        <v>-1162524</v>
      </c>
      <c r="G21" s="15">
        <f>B21/$B$7*100</f>
        <v/>
      </c>
      <c r="H21" s="15">
        <f>C21/$C$7*100</f>
        <v/>
      </c>
      <c r="I21" s="15">
        <f>D21/$D$7*100</f>
        <v/>
      </c>
      <c r="J21" s="15">
        <f>E21/$E$7*100</f>
        <v/>
      </c>
      <c r="K21" s="15">
        <f>F21/$F$7*100</f>
        <v/>
      </c>
      <c r="L21" s="15">
        <f>(C21-B21)/B21*100</f>
        <v/>
      </c>
      <c r="M21" s="15">
        <f>(D21-C21)/C21*100</f>
        <v/>
      </c>
      <c r="N21" s="15">
        <f>(E21-D21)/D21*100</f>
        <v/>
      </c>
      <c r="O21" s="15">
        <f>(F21-E21)/E21*100</f>
        <v/>
      </c>
    </row>
    <row r="22" ht="28.8" customHeight="1">
      <c r="A22" s="10" t="inlineStr">
        <is>
          <t>Убытки от обесценения дебиторской задолженности</t>
        </is>
      </c>
      <c r="B22" s="31" t="n">
        <v>-49254</v>
      </c>
      <c r="C22" s="31" t="n">
        <v>-185249</v>
      </c>
      <c r="D22" s="31" t="n">
        <v>-57402</v>
      </c>
      <c r="E22" s="31" t="n">
        <v>0</v>
      </c>
      <c r="F22" s="31" t="n">
        <v>0</v>
      </c>
      <c r="G22" s="15">
        <f>B22/$B$7*100</f>
        <v/>
      </c>
      <c r="H22" s="15">
        <f>C22/$C$7*100</f>
        <v/>
      </c>
      <c r="I22" s="15">
        <f>D22/$D$7*100</f>
        <v/>
      </c>
      <c r="J22" s="15">
        <f>E22/$E$7*100</f>
        <v/>
      </c>
      <c r="K22" s="15">
        <f>F22/$F$7*100</f>
        <v/>
      </c>
      <c r="L22" s="15">
        <f>(C22-B22)/B22*100</f>
        <v/>
      </c>
      <c r="M22" s="15">
        <f>(D22-C22)/C22*100</f>
        <v/>
      </c>
      <c r="N22" s="15">
        <f>(E22-D22)/D22*100</f>
        <v/>
      </c>
      <c r="O22" s="15" t="n">
        <v>0</v>
      </c>
    </row>
    <row r="23">
      <c r="A23" s="10" t="inlineStr">
        <is>
          <t>Прочие операционные расходы</t>
        </is>
      </c>
      <c r="B23" s="31" t="n">
        <v>-4456439</v>
      </c>
      <c r="C23" s="31" t="n">
        <v>-7666288</v>
      </c>
      <c r="D23" s="31" t="n">
        <v>-7045247</v>
      </c>
      <c r="E23" s="31" t="n">
        <v>-6582456</v>
      </c>
      <c r="F23" s="31" t="n">
        <v>-13311137</v>
      </c>
      <c r="G23" s="15">
        <f>B23/$B$7*100</f>
        <v/>
      </c>
      <c r="H23" s="15">
        <f>C23/$C$7*100</f>
        <v/>
      </c>
      <c r="I23" s="15">
        <f>D23/$D$7*100</f>
        <v/>
      </c>
      <c r="J23" s="15">
        <f>E23/$E$7*100</f>
        <v/>
      </c>
      <c r="K23" s="15">
        <f>F23/$F$7*100</f>
        <v/>
      </c>
      <c r="L23" s="15">
        <f>(C23-B23)/B23*100</f>
        <v/>
      </c>
      <c r="M23" s="15">
        <f>(D23-C23)/C23*100</f>
        <v/>
      </c>
      <c r="N23" s="15">
        <f>(E23-D23)/D23*100</f>
        <v/>
      </c>
      <c r="O23" s="15">
        <f>(F23-E23)/E23*100</f>
        <v/>
      </c>
    </row>
    <row r="24">
      <c r="A24" s="10" t="inlineStr">
        <is>
          <t>Всего операционные расходы</t>
        </is>
      </c>
      <c r="B24" s="31" t="n">
        <v>-281291651</v>
      </c>
      <c r="C24" s="31" t="n">
        <v>-407871344</v>
      </c>
      <c r="D24" s="31" t="n">
        <v>-473883363</v>
      </c>
      <c r="E24" s="31" t="n">
        <v>-553829486</v>
      </c>
      <c r="F24" s="31" t="n">
        <v>-713117652</v>
      </c>
      <c r="G24" s="15">
        <f>B24/$B$7*100</f>
        <v/>
      </c>
      <c r="H24" s="15">
        <f>C24/$C$7*100</f>
        <v/>
      </c>
      <c r="I24" s="15">
        <f>D24/$D$7*100</f>
        <v/>
      </c>
      <c r="J24" s="15">
        <f>E24/$E$7*100</f>
        <v/>
      </c>
      <c r="K24" s="15">
        <f>F24/$F$7*100</f>
        <v/>
      </c>
      <c r="L24" s="15">
        <f>(C24-B24)/B24*100</f>
        <v/>
      </c>
      <c r="M24" s="15">
        <f>(D24-C24)/C24*100</f>
        <v/>
      </c>
      <c r="N24" s="15">
        <f>(E24-D24)/D24*100</f>
        <v/>
      </c>
      <c r="O24" s="15">
        <f>(F24-E24)/E24*100</f>
        <v/>
      </c>
    </row>
    <row r="25">
      <c r="A25" s="10" t="inlineStr">
        <is>
          <t>Операционная прибыль</t>
        </is>
      </c>
      <c r="B25" s="31" t="n">
        <v>43615073</v>
      </c>
      <c r="C25" s="31" t="n">
        <v>70110474</v>
      </c>
      <c r="D25" s="31" t="n">
        <v>61286139</v>
      </c>
      <c r="E25" s="31" t="n">
        <v>62322547</v>
      </c>
      <c r="F25" s="31" t="n">
        <v>45849081</v>
      </c>
      <c r="G25" s="15">
        <f>B25/$B$7*100</f>
        <v/>
      </c>
      <c r="H25" s="15">
        <f>C25/$C$7*100</f>
        <v/>
      </c>
      <c r="I25" s="15">
        <f>D25/$D$7*100</f>
        <v/>
      </c>
      <c r="J25" s="15">
        <f>E25/$E$7*100</f>
        <v/>
      </c>
      <c r="K25" s="15">
        <f>F25/$F$7*100</f>
        <v/>
      </c>
      <c r="L25" s="15">
        <f>(C25-B25)/B25*100</f>
        <v/>
      </c>
      <c r="M25" s="15">
        <f>(D25-C25)/C25*100</f>
        <v/>
      </c>
      <c r="N25" s="15">
        <f>(E25-D25)/D25*100</f>
        <v/>
      </c>
      <c r="O25" s="15">
        <f>(F25-E25)/E25*100</f>
        <v/>
      </c>
    </row>
    <row r="26">
      <c r="A26" s="10" t="inlineStr">
        <is>
          <t>Финансовые доходы</t>
        </is>
      </c>
      <c r="B26" s="31" t="n">
        <v>1026620</v>
      </c>
      <c r="C26" s="31" t="n">
        <v>3261294</v>
      </c>
      <c r="D26" s="31" t="n">
        <v>6757281</v>
      </c>
      <c r="E26" s="31" t="n">
        <v>10376957</v>
      </c>
      <c r="F26" s="31" t="n">
        <v>11633517</v>
      </c>
      <c r="G26" s="15">
        <f>B26/$B$7*100</f>
        <v/>
      </c>
      <c r="H26" s="15">
        <f>C26/$C$7*100</f>
        <v/>
      </c>
      <c r="I26" s="15">
        <f>D26/$D$7*100</f>
        <v/>
      </c>
      <c r="J26" s="15">
        <f>E26/$E$7*100</f>
        <v/>
      </c>
      <c r="K26" s="15">
        <f>F26/$F$7*100</f>
        <v/>
      </c>
      <c r="L26" s="15">
        <f>(C26-B26)/B26*100</f>
        <v/>
      </c>
      <c r="M26" s="15">
        <f>(D26-C26)/C26*100</f>
        <v/>
      </c>
      <c r="N26" s="15">
        <f>(E26-D26)/D26*100</f>
        <v/>
      </c>
      <c r="O26" s="15">
        <f>(F26-E26)/E26*100</f>
        <v/>
      </c>
    </row>
    <row r="27">
      <c r="A27" s="10" t="inlineStr">
        <is>
          <t>Финансовые расходы</t>
        </is>
      </c>
      <c r="B27" s="31" t="n">
        <v>-20040053</v>
      </c>
      <c r="C27" s="31" t="n">
        <v>-18073217</v>
      </c>
      <c r="D27" s="31" t="n">
        <v>-22765053</v>
      </c>
      <c r="E27" s="31" t="n">
        <v>-30618503</v>
      </c>
      <c r="F27" s="31" t="n">
        <v>-42893475</v>
      </c>
      <c r="G27" s="15">
        <f>B27/$B$7*100</f>
        <v/>
      </c>
      <c r="H27" s="15">
        <f>C27/$C$7*100</f>
        <v/>
      </c>
      <c r="I27" s="15">
        <f>D27/$D$7*100</f>
        <v/>
      </c>
      <c r="J27" s="15">
        <f>E27/$E$7*100</f>
        <v/>
      </c>
      <c r="K27" s="15">
        <f>F27/$F$7*100</f>
        <v/>
      </c>
      <c r="L27" s="15">
        <f>(C27-B27)/B27*100</f>
        <v/>
      </c>
      <c r="M27" s="15">
        <f>(D27-C27)/C27*100</f>
        <v/>
      </c>
      <c r="N27" s="15">
        <f>(E27-D27)/D27*100</f>
        <v/>
      </c>
      <c r="O27" s="15">
        <f>(F27-E27)/E27*100</f>
        <v/>
      </c>
    </row>
    <row r="28">
      <c r="A28" s="10" t="inlineStr">
        <is>
          <t>Убыток от курсовой разницы, нетто</t>
        </is>
      </c>
      <c r="B28" s="31" t="n">
        <v>-5330611</v>
      </c>
      <c r="C28" s="31" t="n">
        <v>-6923638</v>
      </c>
      <c r="D28" s="31" t="n">
        <v>-6280403</v>
      </c>
      <c r="E28" s="31" t="n">
        <v>-9939963</v>
      </c>
      <c r="F28" s="31" t="n">
        <v>-4142993</v>
      </c>
      <c r="G28" s="15">
        <f>B28/$B$7*100</f>
        <v/>
      </c>
      <c r="H28" s="15">
        <f>C28/$C$7*100</f>
        <v/>
      </c>
      <c r="I28" s="15">
        <f>D28/$D$7*100</f>
        <v/>
      </c>
      <c r="J28" s="15">
        <f>E28/$E$7*100</f>
        <v/>
      </c>
      <c r="K28" s="15">
        <f>F28/$F$7*100</f>
        <v/>
      </c>
      <c r="L28" s="15">
        <f>(C28-B28)/B28*100</f>
        <v/>
      </c>
      <c r="M28" s="15">
        <f>(D28-C28)/C28*100</f>
        <v/>
      </c>
      <c r="N28" s="15">
        <f>(E28-D28)/D28*100</f>
        <v/>
      </c>
      <c r="O28" s="15">
        <f>(F28-E28)/E28*100</f>
        <v/>
      </c>
    </row>
    <row r="29">
      <c r="A29" s="10" t="inlineStr">
        <is>
          <t>Прибыль до налогообложения</t>
        </is>
      </c>
      <c r="B29" s="31" t="n">
        <v>19271029</v>
      </c>
      <c r="C29" s="31" t="n">
        <v>48374913</v>
      </c>
      <c r="D29" s="31" t="n">
        <v>38997964</v>
      </c>
      <c r="E29" s="31" t="n">
        <v>32141038</v>
      </c>
      <c r="F29" s="31" t="n">
        <v>10446130</v>
      </c>
      <c r="G29" s="15">
        <f>B29/$B$7*100</f>
        <v/>
      </c>
      <c r="H29" s="15">
        <f>C29/$C$7*100</f>
        <v/>
      </c>
      <c r="I29" s="15">
        <f>D29/$D$7*100</f>
        <v/>
      </c>
      <c r="J29" s="15">
        <f>E29/$E$7*100</f>
        <v/>
      </c>
      <c r="K29" s="15">
        <f>F29/$F$7*100</f>
        <v/>
      </c>
      <c r="L29" s="15">
        <f>(C29-B29)/B29*100</f>
        <v/>
      </c>
      <c r="M29" s="15">
        <f>(D29-C29)/C29*100</f>
        <v/>
      </c>
      <c r="N29" s="15">
        <f>(E29-D29)/D29*100</f>
        <v/>
      </c>
      <c r="O29" s="15">
        <f>(F29-E29)/E29*100</f>
        <v/>
      </c>
    </row>
    <row r="30">
      <c r="A30" s="10" t="inlineStr">
        <is>
          <t>Расход по подоходному налогу</t>
        </is>
      </c>
      <c r="B30" s="31" t="n">
        <v>-3785461</v>
      </c>
      <c r="C30" s="31" t="n">
        <v>-10792015</v>
      </c>
      <c r="D30" s="31" t="n">
        <v>-8258890</v>
      </c>
      <c r="E30" s="31" t="n">
        <v>-6618444</v>
      </c>
      <c r="F30" s="31" t="n">
        <v>-3423268</v>
      </c>
      <c r="G30" s="15">
        <f>B30/$B$7*100</f>
        <v/>
      </c>
      <c r="H30" s="15">
        <f>C30/$C$7*100</f>
        <v/>
      </c>
      <c r="I30" s="15">
        <f>D30/$D$7*100</f>
        <v/>
      </c>
      <c r="J30" s="15">
        <f>E30/$E$7*100</f>
        <v/>
      </c>
      <c r="K30" s="15">
        <f>F30/$F$7*100</f>
        <v/>
      </c>
      <c r="L30" s="15">
        <f>(C30-B30)/B30*100</f>
        <v/>
      </c>
      <c r="M30" s="15">
        <f>(D30-C30)/C30*100</f>
        <v/>
      </c>
      <c r="N30" s="15">
        <f>(E30-D30)/D30*100</f>
        <v/>
      </c>
      <c r="O30" s="15">
        <f>(F30-E30)/E30*100</f>
        <v/>
      </c>
    </row>
    <row r="31">
      <c r="A31" s="10" t="inlineStr">
        <is>
          <t>Прибыль за год</t>
        </is>
      </c>
      <c r="B31" s="31" t="n">
        <v>15485568</v>
      </c>
      <c r="C31" s="31" t="n">
        <v>37582898</v>
      </c>
      <c r="D31" s="31" t="n">
        <v>30739074</v>
      </c>
      <c r="E31" s="31" t="n">
        <v>25522594</v>
      </c>
      <c r="F31" s="31" t="n">
        <v>7022862</v>
      </c>
      <c r="G31" s="15">
        <f>B31/$B$7*100</f>
        <v/>
      </c>
      <c r="H31" s="15">
        <f>C31/$C$7*100</f>
        <v/>
      </c>
      <c r="I31" s="15">
        <f>D31/$D$7*100</f>
        <v/>
      </c>
      <c r="J31" s="15">
        <f>E31/$E$7*100</f>
        <v/>
      </c>
      <c r="K31" s="15">
        <f>F31/$F$7*100</f>
        <v/>
      </c>
      <c r="L31" s="15">
        <f>(C31-B31)/B31*100</f>
        <v/>
      </c>
      <c r="M31" s="15">
        <f>(D31-C31)/C31*100</f>
        <v/>
      </c>
      <c r="N31" s="15">
        <f>(E31-D31)/D31*100</f>
        <v/>
      </c>
      <c r="O31" s="15">
        <f>(F31-E31)/E31*100</f>
        <v/>
      </c>
    </row>
    <row r="32" ht="28.8" customHeight="1">
      <c r="A32" s="10" t="inlineStr">
        <is>
          <t>Базовая и разводненная прибыль на акцию - базовая и разводненная, тенге</t>
        </is>
      </c>
      <c r="B32" s="31" t="n">
        <v>910.9160000000001</v>
      </c>
      <c r="C32" s="31" t="n">
        <v>2210.759</v>
      </c>
      <c r="D32" s="31" t="n">
        <v>100.454</v>
      </c>
      <c r="E32" s="31" t="n">
        <v>73.15600000000001</v>
      </c>
      <c r="F32" s="31" t="n">
        <v>19.823</v>
      </c>
      <c r="G32" s="15">
        <f>B32/$B$7*100</f>
        <v/>
      </c>
      <c r="H32" s="15">
        <f>C32/$C$7*100</f>
        <v/>
      </c>
      <c r="I32" s="15">
        <f>D32/$D$7*100</f>
        <v/>
      </c>
      <c r="J32" s="15">
        <f>E32/$E$7*100</f>
        <v/>
      </c>
      <c r="K32" s="15">
        <f>F32/$F$7*100</f>
        <v/>
      </c>
      <c r="L32" s="15">
        <f>(C32-B32)/B32*100</f>
        <v/>
      </c>
      <c r="M32" s="15">
        <f>(D32-C32)/C32*100</f>
        <v/>
      </c>
      <c r="N32" s="15">
        <f>(E32-D32)/D32*100</f>
        <v/>
      </c>
      <c r="O32" s="15">
        <f>(F32-E32)/E32*100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1" zoomScale="57" zoomScaleNormal="57" workbookViewId="0">
      <pane xSplit="1" ySplit="3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I11" sqref="I11"/>
    </sheetView>
  </sheetViews>
  <sheetFormatPr baseColWidth="8" defaultColWidth="9" defaultRowHeight="14.4"/>
  <cols>
    <col width="70" customWidth="1" min="1" max="1"/>
    <col width="18" customWidth="1" min="2" max="6"/>
  </cols>
  <sheetData>
    <row r="1" ht="22" customHeight="1">
      <c r="A1" s="17" t="inlineStr">
        <is>
          <t>Отчет о движении денежных средств</t>
        </is>
      </c>
    </row>
    <row r="2" ht="22" customHeight="1">
      <c r="A2" s="17" t="inlineStr">
        <is>
          <t>тыс. тенге</t>
        </is>
      </c>
      <c r="B2" s="17" t="n"/>
      <c r="C2" s="17" t="n"/>
      <c r="D2" s="17" t="n"/>
      <c r="E2" s="17" t="n"/>
      <c r="F2" s="17" t="n"/>
    </row>
    <row r="3" ht="22" customHeight="1">
      <c r="A3" s="19" t="inlineStr">
        <is>
          <t>Показатель</t>
        </is>
      </c>
      <c r="B3" s="19" t="n">
        <v>2021</v>
      </c>
      <c r="C3" s="19" t="n">
        <v>2022</v>
      </c>
      <c r="D3" s="19" t="n">
        <v>2023</v>
      </c>
      <c r="E3" s="19" t="n">
        <v>2024</v>
      </c>
      <c r="F3" s="19" t="n">
        <v>2025</v>
      </c>
    </row>
    <row r="4" ht="30" customHeight="1">
      <c r="A4" s="22" t="inlineStr">
        <is>
          <t>ОПЕРАЦИОННАЯ ДЕЯТЕЛЬНОСТЬ</t>
        </is>
      </c>
      <c r="B4" s="32" t="n"/>
      <c r="C4" s="32" t="n"/>
      <c r="D4" s="32" t="n"/>
      <c r="E4" s="32" t="n"/>
      <c r="F4" s="32" t="n"/>
    </row>
    <row r="5" ht="30" customHeight="1">
      <c r="A5" s="22" t="inlineStr">
        <is>
          <t>Прибыль до налогообложения</t>
        </is>
      </c>
      <c r="B5" s="32" t="n">
        <v>19271029</v>
      </c>
      <c r="C5" s="32" t="n">
        <v>48374913</v>
      </c>
      <c r="D5" s="32" t="n">
        <v>39683633</v>
      </c>
      <c r="E5" s="32" t="n">
        <v>31385844</v>
      </c>
      <c r="F5" s="32" t="n">
        <v>10503068</v>
      </c>
    </row>
    <row r="6" ht="30" customHeight="1">
      <c r="A6" s="22" t="inlineStr">
        <is>
          <t>Корректировки:</t>
        </is>
      </c>
      <c r="B6" s="32" t="n"/>
      <c r="C6" s="32" t="n"/>
      <c r="D6" s="32" t="n"/>
      <c r="E6" s="32" t="n"/>
      <c r="F6" s="32" t="n"/>
    </row>
    <row r="7" ht="30" customHeight="1">
      <c r="A7" s="22" t="inlineStr">
        <is>
          <t>Износ и амортизация основных средств и нематериальных активов</t>
        </is>
      </c>
      <c r="B7" s="32" t="n">
        <v>51484170</v>
      </c>
      <c r="C7" s="32" t="n">
        <v>62243853</v>
      </c>
      <c r="D7" s="32" t="n">
        <v>73820615</v>
      </c>
      <c r="E7" s="32" t="n">
        <v>89033552</v>
      </c>
      <c r="F7" s="32" t="n">
        <v>119929168</v>
      </c>
    </row>
    <row r="8" ht="30" customHeight="1">
      <c r="A8" s="22" t="inlineStr">
        <is>
          <t>Доход от выбытия основных средств</t>
        </is>
      </c>
      <c r="B8" s="32" t="n">
        <v>-3054489</v>
      </c>
      <c r="C8" s="32" t="n">
        <v>-1026474</v>
      </c>
      <c r="D8" s="32" t="n">
        <v>-1594326</v>
      </c>
      <c r="E8" s="32" t="n">
        <v>-12111266</v>
      </c>
      <c r="F8" s="32" t="n">
        <v>-20227280</v>
      </c>
    </row>
    <row r="9" ht="30" customHeight="1">
      <c r="A9" s="22" t="inlineStr">
        <is>
          <t>Изменение резерва под обесценение дебиторской задолженности, авансов, гарантийных депозитов, денежных средств и их эквивалентов</t>
        </is>
      </c>
      <c r="B9" s="32" t="n">
        <v>-154649</v>
      </c>
      <c r="C9" s="32" t="n">
        <v>-1118045</v>
      </c>
      <c r="D9" s="32" t="n">
        <v>-34630</v>
      </c>
      <c r="E9" s="32" t="n">
        <v>-541249</v>
      </c>
      <c r="F9" s="32" t="n">
        <v>99706</v>
      </c>
    </row>
    <row r="10" ht="30" customHeight="1">
      <c r="A10" s="22" t="inlineStr">
        <is>
          <t>Изменение резерва на неликвидные товарно-материальные запасы</t>
        </is>
      </c>
      <c r="B10" s="32" t="n">
        <v>-59218</v>
      </c>
      <c r="C10" s="32" t="n">
        <v>1975459</v>
      </c>
      <c r="D10" s="32" t="n">
        <v>-282960</v>
      </c>
      <c r="E10" s="32" t="n">
        <v>166140</v>
      </c>
      <c r="F10" s="32" t="n">
        <v>976702</v>
      </c>
    </row>
    <row r="11" ht="30" customHeight="1">
      <c r="A11" s="22" t="inlineStr">
        <is>
          <t>Изменение в резерве отпусков</t>
        </is>
      </c>
      <c r="B11" s="32" t="n">
        <v>135478</v>
      </c>
      <c r="C11" s="32" t="n">
        <v>-34996</v>
      </c>
      <c r="D11" s="32" t="n">
        <v>-143986</v>
      </c>
      <c r="E11" s="32" t="n">
        <v>553486</v>
      </c>
      <c r="F11" s="32" t="n">
        <v>739182</v>
      </c>
    </row>
    <row r="12" ht="30" customHeight="1">
      <c r="A12" s="22" t="inlineStr">
        <is>
          <t>Изменение в резерве по техническому обслуживанию воздушных судов</t>
        </is>
      </c>
      <c r="B12" s="32" t="n">
        <v>25899549</v>
      </c>
      <c r="C12" s="32" t="n">
        <v>37199540</v>
      </c>
      <c r="D12" s="32" t="n">
        <v>39108600</v>
      </c>
      <c r="E12" s="32" t="n">
        <v>44852585</v>
      </c>
      <c r="F12" s="32" t="n">
        <v>56069783</v>
      </c>
    </row>
    <row r="13" ht="30" customHeight="1">
      <c r="A13" s="22" t="inlineStr">
        <is>
          <t>Изменение в резерве по программе лояльности клиентов</t>
        </is>
      </c>
      <c r="B13" s="32" t="n">
        <v>-602832</v>
      </c>
      <c r="C13" s="32" t="n">
        <v>442982</v>
      </c>
      <c r="D13" s="32" t="n">
        <v>1263978</v>
      </c>
      <c r="E13" s="32" t="n">
        <v>1914609</v>
      </c>
      <c r="F13" s="32" t="n">
        <v>-400390</v>
      </c>
    </row>
    <row r="14" ht="30" customHeight="1">
      <c r="A14" s="22" t="inlineStr">
        <is>
          <t>Убыток от курсовой разницы, нетто</t>
        </is>
      </c>
      <c r="B14" s="32" t="n">
        <v>5330611</v>
      </c>
      <c r="C14" s="32" t="n">
        <v>6923638</v>
      </c>
      <c r="D14" s="32" t="n">
        <v>6289363</v>
      </c>
      <c r="E14" s="32" t="n">
        <v>9762717</v>
      </c>
      <c r="F14" s="32" t="n">
        <v>4127100</v>
      </c>
    </row>
    <row r="15" ht="30" customHeight="1">
      <c r="A15" s="22" t="inlineStr">
        <is>
          <t>Финансовые доходы</t>
        </is>
      </c>
      <c r="B15" s="32" t="n">
        <v>-763039</v>
      </c>
      <c r="C15" s="32" t="n">
        <v>-2929191</v>
      </c>
      <c r="D15" s="32" t="n">
        <v>-6525390</v>
      </c>
      <c r="E15" s="32" t="n">
        <v>-10251724</v>
      </c>
      <c r="F15" s="32" t="n">
        <v>-11631156</v>
      </c>
    </row>
    <row r="16" ht="30" customHeight="1">
      <c r="A16" s="22" t="inlineStr">
        <is>
          <t>Финансовые расходы</t>
        </is>
      </c>
      <c r="B16" s="32" t="n">
        <v>19931534</v>
      </c>
      <c r="C16" s="32" t="n">
        <v>18019259</v>
      </c>
      <c r="D16" s="32" t="n">
        <v>22537453</v>
      </c>
      <c r="E16" s="32" t="n">
        <v>30400300</v>
      </c>
      <c r="F16" s="32" t="n">
        <v>42929986</v>
      </c>
    </row>
    <row r="17" ht="30" customHeight="1">
      <c r="A17" s="22" t="inlineStr">
        <is>
          <t>Эффект отсрочки платежей по аренде, связанной с COVID-19</t>
        </is>
      </c>
      <c r="B17" s="32" t="n">
        <v>377748</v>
      </c>
      <c r="C17" s="32" t="n">
        <v>0</v>
      </c>
      <c r="D17" s="32" t="n">
        <v>0</v>
      </c>
      <c r="E17" s="32" t="n">
        <v>0</v>
      </c>
      <c r="F17" s="32" t="n">
        <v>0</v>
      </c>
    </row>
    <row r="18" ht="30" customHeight="1">
      <c r="A18" s="22" t="inlineStr">
        <is>
          <t>Доход от досрочного возврата двигателя/воздушных судов</t>
        </is>
      </c>
      <c r="B18" s="32" t="n">
        <v>-209440</v>
      </c>
      <c r="C18" s="32" t="n">
        <v>0</v>
      </c>
      <c r="D18" s="32" t="n">
        <v>0</v>
      </c>
      <c r="E18" s="32" t="n">
        <v>-1353122</v>
      </c>
      <c r="F18" s="32" t="n">
        <v>0</v>
      </c>
    </row>
    <row r="19" ht="30" customHeight="1">
      <c r="A19" s="22" t="inlineStr">
        <is>
          <t>Обесценение основных средств</t>
        </is>
      </c>
      <c r="B19" s="32" t="n">
        <v>0</v>
      </c>
      <c r="C19" s="32" t="n">
        <v>0</v>
      </c>
      <c r="D19" s="32" t="n">
        <v>0</v>
      </c>
      <c r="E19" s="32" t="n">
        <v>0</v>
      </c>
      <c r="F19" s="32" t="n">
        <v>0</v>
      </c>
    </row>
    <row r="20" ht="30" customHeight="1">
      <c r="A20" s="22" t="inlineStr">
        <is>
          <t>Прочее изменение капитала</t>
        </is>
      </c>
      <c r="B20" s="32" t="n">
        <v>0</v>
      </c>
      <c r="C20" s="32" t="n">
        <v>0</v>
      </c>
      <c r="D20" s="32" t="n">
        <v>0</v>
      </c>
      <c r="E20" s="32" t="n">
        <v>0</v>
      </c>
      <c r="F20" s="32" t="n">
        <v>-3007365</v>
      </c>
    </row>
    <row r="21" ht="30" customHeight="1">
      <c r="A21" s="22" t="inlineStr">
        <is>
          <t>Выплаты, основанные на акциях</t>
        </is>
      </c>
      <c r="B21" s="32" t="n">
        <v>0</v>
      </c>
      <c r="C21" s="32" t="n">
        <v>0</v>
      </c>
      <c r="D21" s="32" t="n">
        <v>0</v>
      </c>
      <c r="E21" s="32" t="n">
        <v>2875208</v>
      </c>
      <c r="F21" s="32" t="n">
        <v>487046</v>
      </c>
    </row>
    <row r="22" ht="30" customHeight="1">
      <c r="A22" s="22" t="inlineStr">
        <is>
          <t>Денежные средства, полученные от операционной деятельности до изменений в оборотном капитале</t>
        </is>
      </c>
      <c r="B22" s="32">
        <f>B5+B7+B8+B9+B10+B11+B12+B13+B14+B15+B16+B17+B18+B19+B20+B21</f>
        <v/>
      </c>
      <c r="C22" s="32">
        <f>C5+C7+C8+C9+C10+C11+C12+C13+C14+C15+C16+C17+C18+C19+C20+C21</f>
        <v/>
      </c>
      <c r="D22" s="32">
        <f>D5+D7+D8+D9+D10+D11+D12+D13+D14+D15+D16+D17+D18+D19+D20+D21</f>
        <v/>
      </c>
      <c r="E22" s="32">
        <f>E5+E7+E8+E9+E10+E11+E12+E13+E14+E15+E16+E17+E18+E19+E20+E21</f>
        <v/>
      </c>
      <c r="F22" s="32">
        <f>F5+F7+F8+F9+F10+F11+F12+F13+F14+F15+F16+F17+F18+F19+F20+F21</f>
        <v/>
      </c>
    </row>
    <row r="23" ht="30" customHeight="1">
      <c r="A23" s="22" t="inlineStr">
        <is>
          <t>Изменение торговой и прочей дебиторской задолженности</t>
        </is>
      </c>
      <c r="B23" s="32" t="n">
        <v>-1631695</v>
      </c>
      <c r="C23" s="32" t="n">
        <v>-1753047</v>
      </c>
      <c r="D23" s="32" t="n">
        <v>-378647</v>
      </c>
      <c r="E23" s="32" t="n">
        <v>-844348</v>
      </c>
      <c r="F23" s="32" t="n">
        <v>-15610002</v>
      </c>
    </row>
    <row r="24" ht="30" customHeight="1">
      <c r="A24" s="22" t="inlineStr">
        <is>
          <t>Изменение в предоплатах и авансах выданных</t>
        </is>
      </c>
      <c r="B24" s="32" t="n">
        <v>-2727444</v>
      </c>
      <c r="C24" s="32" t="n">
        <v>1506230</v>
      </c>
      <c r="D24" s="32" t="n">
        <v>-2563042</v>
      </c>
      <c r="E24" s="32" t="n">
        <v>-4801113</v>
      </c>
      <c r="F24" s="32" t="n">
        <v>-10538566</v>
      </c>
    </row>
    <row r="25" ht="30" customHeight="1">
      <c r="A25" s="22" t="inlineStr">
        <is>
          <t>Изменение товарно-материальных запасов</t>
        </is>
      </c>
      <c r="B25" s="32" t="n">
        <v>-1497495</v>
      </c>
      <c r="C25" s="32" t="n">
        <v>-221491</v>
      </c>
      <c r="D25" s="32" t="n">
        <v>-7649028</v>
      </c>
      <c r="E25" s="32" t="n">
        <v>770927</v>
      </c>
      <c r="F25" s="32" t="n">
        <v>-11567469</v>
      </c>
    </row>
    <row r="26" ht="30" customHeight="1">
      <c r="A26" s="22" t="inlineStr">
        <is>
          <t>Изменение торговой и прочей кредиторской задолженности и резерве по техническому обслуживанию воздушных судов</t>
        </is>
      </c>
      <c r="B26" s="32" t="n">
        <v>1738628</v>
      </c>
      <c r="C26" s="32" t="n">
        <v>-337071</v>
      </c>
      <c r="D26" s="32" t="n">
        <v>-8198544</v>
      </c>
      <c r="E26" s="32" t="n">
        <v>-8395476</v>
      </c>
      <c r="F26" s="32" t="n">
        <v>-35710953</v>
      </c>
    </row>
    <row r="27" ht="30" customHeight="1">
      <c r="A27" s="22" t="inlineStr">
        <is>
          <t>Изменение доходов будущих периодов</t>
        </is>
      </c>
      <c r="B27" s="32" t="n">
        <v>8760455</v>
      </c>
      <c r="C27" s="32" t="n">
        <v>10098326</v>
      </c>
      <c r="D27" s="32" t="n">
        <v>657050</v>
      </c>
      <c r="E27" s="32" t="n">
        <v>1607274</v>
      </c>
      <c r="F27" s="32" t="n">
        <v>5243704</v>
      </c>
    </row>
    <row r="28" ht="30" customHeight="1">
      <c r="A28" s="22" t="inlineStr">
        <is>
          <t>Изменение по прочим финансовым инструментам</t>
        </is>
      </c>
      <c r="B28" s="32" t="n">
        <v>-3147644</v>
      </c>
      <c r="C28" s="32" t="n">
        <v>2760578</v>
      </c>
      <c r="D28" s="32" t="n">
        <v>-58779</v>
      </c>
      <c r="E28" s="32" t="n">
        <v>420291</v>
      </c>
      <c r="F28" s="32" t="n">
        <v>117455</v>
      </c>
    </row>
    <row r="29" ht="30" customHeight="1">
      <c r="A29" s="22" t="inlineStr">
        <is>
          <t>Денежные средства, полученные от операционной деятельности</t>
        </is>
      </c>
      <c r="B29" s="32">
        <f>B22+B23+B24+B25+B26+B27+B28</f>
        <v/>
      </c>
      <c r="C29" s="32">
        <f>C22+C23+C24+C25+C26+C27+C28</f>
        <v/>
      </c>
      <c r="D29" s="32">
        <f>D22+D23+D24+D25+D26+D27+D28</f>
        <v/>
      </c>
      <c r="E29" s="32">
        <f>E22+E23+E24+E25+E26+E27+E28</f>
        <v/>
      </c>
      <c r="F29" s="32">
        <f>F22+F23+F24+F25+F26+F27+F28</f>
        <v/>
      </c>
    </row>
    <row r="30" ht="30" customHeight="1">
      <c r="A30" s="22" t="inlineStr">
        <is>
          <t>Уплаченный подоходный налог</t>
        </is>
      </c>
      <c r="B30" s="32" t="n">
        <v>-1707547</v>
      </c>
      <c r="C30" s="32" t="n">
        <v>-21822810</v>
      </c>
      <c r="D30" s="32" t="n">
        <v>-19519671</v>
      </c>
      <c r="E30" s="32" t="n">
        <v>-12550855</v>
      </c>
      <c r="F30" s="32" t="n">
        <v>-16566867</v>
      </c>
    </row>
    <row r="31" ht="30" customHeight="1">
      <c r="A31" s="22" t="inlineStr">
        <is>
          <t>Полученное вознаграждение</t>
        </is>
      </c>
      <c r="B31" s="32" t="n">
        <v>693694</v>
      </c>
      <c r="C31" s="32" t="n">
        <v>2929191</v>
      </c>
      <c r="D31" s="32" t="n">
        <v>6416034</v>
      </c>
      <c r="E31" s="32" t="n">
        <v>10233368</v>
      </c>
      <c r="F31" s="32" t="n">
        <v>11628024</v>
      </c>
    </row>
    <row r="32" ht="30" customHeight="1">
      <c r="A32" s="22" t="inlineStr">
        <is>
          <t>Чистые денежные средства, полученные от операционной деятельности</t>
        </is>
      </c>
      <c r="B32" s="32">
        <f>B29+B30+B31</f>
        <v/>
      </c>
      <c r="C32" s="32">
        <f>C29+C30+C31</f>
        <v/>
      </c>
      <c r="D32" s="32">
        <f>D29+D30+D31</f>
        <v/>
      </c>
      <c r="E32" s="32">
        <f>E29+E30+E31</f>
        <v/>
      </c>
      <c r="F32" s="32">
        <f>F29+F30+F31</f>
        <v/>
      </c>
    </row>
    <row r="33" ht="30" customHeight="1">
      <c r="A33" s="22" t="inlineStr">
        <is>
          <t>ИНВЕСТИЦИОННАЯ ДЕЯТЕЛЬНОСТЬ</t>
        </is>
      </c>
      <c r="B33" s="32" t="n"/>
      <c r="C33" s="32" t="n"/>
      <c r="D33" s="32" t="n"/>
      <c r="E33" s="32" t="n"/>
      <c r="F33" s="32" t="n"/>
    </row>
    <row r="34" ht="30" customHeight="1">
      <c r="A34" s="22" t="inlineStr">
        <is>
          <t>Приобретение основных средств</t>
        </is>
      </c>
      <c r="B34" s="32" t="n">
        <v>-13497482</v>
      </c>
      <c r="C34" s="32" t="n">
        <v>-22227370</v>
      </c>
      <c r="D34" s="32" t="n">
        <v>-19035768</v>
      </c>
      <c r="E34" s="32" t="n">
        <v>-46099340</v>
      </c>
      <c r="F34" s="32" t="n">
        <v>-28152607</v>
      </c>
    </row>
    <row r="35" ht="30" customHeight="1">
      <c r="A35" s="22" t="inlineStr">
        <is>
          <t>Поступления от продажи с обратной арендой</t>
        </is>
      </c>
      <c r="B35" s="32" t="n">
        <v>3714556</v>
      </c>
      <c r="C35" s="32" t="n">
        <v>0</v>
      </c>
      <c r="D35" s="32" t="n">
        <v>0</v>
      </c>
      <c r="E35" s="32" t="n">
        <v>42593931</v>
      </c>
      <c r="F35" s="32" t="n">
        <v>72947775</v>
      </c>
    </row>
    <row r="36" ht="30" customHeight="1">
      <c r="A36" s="22" t="inlineStr">
        <is>
          <t>Поступления от продажи основных средств</t>
        </is>
      </c>
      <c r="B36" s="32" t="n">
        <v>1696451</v>
      </c>
      <c r="C36" s="32" t="n">
        <v>908988</v>
      </c>
      <c r="D36" s="32" t="n">
        <v>2269146</v>
      </c>
      <c r="E36" s="32" t="n">
        <v>1286760</v>
      </c>
      <c r="F36" s="32" t="n">
        <v>1868836</v>
      </c>
    </row>
    <row r="37" ht="30" customHeight="1">
      <c r="A37" s="22" t="inlineStr">
        <is>
          <t>Приобретение нематериальных активов</t>
        </is>
      </c>
      <c r="B37" s="32" t="n">
        <v>-231449</v>
      </c>
      <c r="C37" s="32" t="n">
        <v>-306179</v>
      </c>
      <c r="D37" s="32" t="n">
        <v>-964159</v>
      </c>
      <c r="E37" s="32" t="n">
        <v>-1735291</v>
      </c>
      <c r="F37" s="32" t="n">
        <v>-749623</v>
      </c>
    </row>
    <row r="38" ht="30" customHeight="1">
      <c r="A38" s="22" t="inlineStr">
        <is>
          <t>Размещение банковских и гарантийных депозитов</t>
        </is>
      </c>
      <c r="B38" s="32" t="n">
        <v>-1753113</v>
      </c>
      <c r="C38" s="32" t="n">
        <v>-11643697</v>
      </c>
      <c r="D38" s="32" t="n">
        <v>-4546950</v>
      </c>
      <c r="E38" s="32" t="n">
        <v>-5988095</v>
      </c>
      <c r="F38" s="32" t="n">
        <v>-29779226</v>
      </c>
    </row>
    <row r="39" ht="30" customHeight="1">
      <c r="A39" s="22" t="inlineStr">
        <is>
          <t>Погашение банковских и гарантийных депозитов</t>
        </is>
      </c>
      <c r="B39" s="32" t="n">
        <v>4508675</v>
      </c>
      <c r="C39" s="32" t="n">
        <v>5471423</v>
      </c>
      <c r="D39" s="32" t="n">
        <v>1310455</v>
      </c>
      <c r="E39" s="32" t="n">
        <v>1432662</v>
      </c>
      <c r="F39" s="32" t="n">
        <v>1463748</v>
      </c>
    </row>
    <row r="40" ht="30" customHeight="1">
      <c r="A40" s="22" t="inlineStr">
        <is>
          <t>Чистые денежные средства, использованные в/полученные от инвестиционной деятельности</t>
        </is>
      </c>
      <c r="B40" s="32">
        <f>B34+B35+B36+B37+B38+B39</f>
        <v/>
      </c>
      <c r="C40" s="32">
        <f>C34+C35+C36+C37+C38+C39</f>
        <v/>
      </c>
      <c r="D40" s="32">
        <f>D34+D35+D36+D37+D38+D39</f>
        <v/>
      </c>
      <c r="E40" s="32">
        <f>E34+E35+E36+E37+E38+E39</f>
        <v/>
      </c>
      <c r="F40" s="32">
        <f>F34+F35+F36+F37+F38+F39</f>
        <v/>
      </c>
    </row>
    <row r="41" ht="30" customHeight="1">
      <c r="A41" s="22" t="inlineStr">
        <is>
          <t>ФИНАНСОВАЯ ДЕЯТЕЛЬНОСТЬ</t>
        </is>
      </c>
      <c r="B41" s="32" t="n"/>
      <c r="C41" s="32" t="n"/>
      <c r="D41" s="32" t="n"/>
      <c r="E41" s="32" t="n"/>
      <c r="F41" s="32" t="n"/>
    </row>
    <row r="42" ht="30" customHeight="1">
      <c r="A42" s="22" t="inlineStr">
        <is>
          <t>Выплаты по аренде</t>
        </is>
      </c>
      <c r="B42" s="32" t="n">
        <v>-39916368</v>
      </c>
      <c r="C42" s="32" t="n">
        <v>-80533966</v>
      </c>
      <c r="D42" s="32" t="n">
        <v>-78965381</v>
      </c>
      <c r="E42" s="32" t="n">
        <v>-89579507</v>
      </c>
      <c r="F42" s="32" t="n">
        <v>-99581823</v>
      </c>
    </row>
    <row r="43" ht="30" customHeight="1">
      <c r="A43" s="22" t="inlineStr">
        <is>
          <t>Уплаченное вознаграждение</t>
        </is>
      </c>
      <c r="B43" s="32" t="n">
        <v>-20845124</v>
      </c>
      <c r="C43" s="32" t="n">
        <v>-17386235</v>
      </c>
      <c r="D43" s="32" t="n">
        <v>-19464081</v>
      </c>
      <c r="E43" s="32" t="n">
        <v>-25618014</v>
      </c>
      <c r="F43" s="32" t="n">
        <v>-34798460</v>
      </c>
    </row>
    <row r="44" ht="30" customHeight="1">
      <c r="A44" s="22" t="inlineStr">
        <is>
          <t>Возврат займов и дополнительного финансирования от продажи с обратной арендой</t>
        </is>
      </c>
      <c r="B44" s="32" t="n">
        <v>-45800736</v>
      </c>
      <c r="C44" s="32" t="n">
        <v>-46837797</v>
      </c>
      <c r="D44" s="32" t="n">
        <v>-21251603</v>
      </c>
      <c r="E44" s="32" t="n">
        <v>-18092772</v>
      </c>
      <c r="F44" s="32" t="n">
        <v>-275627</v>
      </c>
    </row>
    <row r="45" ht="30" customHeight="1">
      <c r="A45" s="22" t="inlineStr">
        <is>
          <t>Полученные займы и дополнительное финансирование от продажи с обратной арендой</t>
        </is>
      </c>
      <c r="B45" s="32" t="n">
        <v>5318400</v>
      </c>
      <c r="C45" s="32" t="n">
        <v>25603151</v>
      </c>
      <c r="D45" s="32" t="n">
        <v>15947815</v>
      </c>
      <c r="E45" s="32" t="n">
        <v>17975580</v>
      </c>
      <c r="F45" s="32" t="n">
        <v>2888344</v>
      </c>
    </row>
    <row r="46" ht="30" customHeight="1">
      <c r="A46" s="22" t="inlineStr">
        <is>
          <t>Выкуп казначейских акций</t>
        </is>
      </c>
      <c r="B46" s="32" t="n">
        <v>0</v>
      </c>
      <c r="C46" s="32" t="n">
        <v>0</v>
      </c>
      <c r="D46" s="32" t="n">
        <v>0</v>
      </c>
      <c r="E46" s="32" t="n">
        <v>-3878166</v>
      </c>
      <c r="F46" s="32" t="n">
        <v>-1341595</v>
      </c>
    </row>
    <row r="47" ht="30" customHeight="1">
      <c r="A47" s="22" t="inlineStr">
        <is>
          <t>Погашение казначейских акций</t>
        </is>
      </c>
      <c r="B47" s="32" t="n">
        <v>0</v>
      </c>
      <c r="C47" s="32" t="n">
        <v>0</v>
      </c>
      <c r="D47" s="32" t="n">
        <v>0</v>
      </c>
      <c r="E47" s="32" t="n">
        <v>0</v>
      </c>
      <c r="F47" s="32" t="n">
        <v>-7830</v>
      </c>
    </row>
    <row r="48" ht="30" customHeight="1">
      <c r="A48" s="22" t="inlineStr">
        <is>
          <t>Поступления от выпуска акций</t>
        </is>
      </c>
      <c r="B48" s="32" t="n">
        <v>0</v>
      </c>
      <c r="C48" s="32" t="n">
        <v>0</v>
      </c>
      <c r="D48" s="32" t="n">
        <v>0</v>
      </c>
      <c r="E48" s="32" t="n">
        <v>57001504</v>
      </c>
      <c r="F48" s="32" t="n">
        <v>0</v>
      </c>
    </row>
    <row r="49" ht="30" customHeight="1">
      <c r="A49" s="22" t="inlineStr">
        <is>
          <t>Выплаченные дивиденды</t>
        </is>
      </c>
      <c r="B49" s="32" t="n">
        <v>0</v>
      </c>
      <c r="C49" s="32" t="n">
        <v>0</v>
      </c>
      <c r="D49" s="32" t="n">
        <v>-7644016</v>
      </c>
      <c r="E49" s="32" t="n">
        <v>0</v>
      </c>
      <c r="F49" s="32" t="n">
        <v>-19393090</v>
      </c>
    </row>
    <row r="50" ht="30" customHeight="1">
      <c r="A50" s="22" t="inlineStr">
        <is>
          <t>Чистые денежные средства, использованные в финансовой деятельности</t>
        </is>
      </c>
      <c r="B50" s="32">
        <f>B42+B43+B44+B45+B46+B47+B48+B49</f>
        <v/>
      </c>
      <c r="C50" s="32">
        <f>C42+C43+C44+C45+C46+C47+C48+C49</f>
        <v/>
      </c>
      <c r="D50" s="32">
        <f>D42+D43+D44+D45+D46+D47+D48+D49</f>
        <v/>
      </c>
      <c r="E50" s="32">
        <f>E42+E43+E44+E45+E46+E47+E48+E49</f>
        <v/>
      </c>
      <c r="F50" s="32">
        <f>F42+F43+F44+F45+F46+F47+F48+F49</f>
        <v/>
      </c>
    </row>
    <row r="51" ht="30" customHeight="1">
      <c r="A51" s="22" t="inlineStr">
        <is>
          <t>Чистое увеличение/(уменьшение) денежных средств и их эквивалентов</t>
        </is>
      </c>
      <c r="B51" s="32">
        <f>B32+B40+B50</f>
        <v/>
      </c>
      <c r="C51" s="32">
        <f>C32+C40+C50</f>
        <v/>
      </c>
      <c r="D51" s="32">
        <f>D32+D40+D50</f>
        <v/>
      </c>
      <c r="E51" s="32">
        <f>E32+E40+E50</f>
        <v/>
      </c>
      <c r="F51" s="32">
        <f>F32+F40+F50</f>
        <v/>
      </c>
    </row>
    <row r="52" ht="30" customHeight="1">
      <c r="A52" s="22" t="inlineStr">
        <is>
          <t>Влияние изменений обменных курсов на денежные средства</t>
        </is>
      </c>
      <c r="B52" s="32" t="n">
        <v>-787729</v>
      </c>
      <c r="C52" s="32" t="n">
        <v>-246357</v>
      </c>
      <c r="D52" s="32" t="n">
        <v>-860271</v>
      </c>
      <c r="E52" s="32" t="n">
        <v>-1353593</v>
      </c>
      <c r="F52" s="32" t="n">
        <v>-940160</v>
      </c>
    </row>
    <row r="53" ht="30" customHeight="1">
      <c r="A53" s="22" t="inlineStr">
        <is>
          <t>Влияние движения ожидаемых кредитных убытков на денежные средства</t>
        </is>
      </c>
      <c r="B53" s="32" t="n">
        <v>-426</v>
      </c>
      <c r="C53" s="32" t="n">
        <v>-710</v>
      </c>
      <c r="D53" s="32" t="n">
        <v>-456</v>
      </c>
      <c r="E53" s="32" t="n">
        <v>-941</v>
      </c>
      <c r="F53" s="32" t="n">
        <v>-1044</v>
      </c>
    </row>
    <row r="54" ht="30" customHeight="1">
      <c r="A54" s="22" t="inlineStr">
        <is>
          <t>Курсовые разницы при пересчете из других валют</t>
        </is>
      </c>
      <c r="B54" s="32" t="n">
        <v>2515982</v>
      </c>
      <c r="C54" s="32" t="n">
        <v>3225585</v>
      </c>
      <c r="D54" s="32" t="n">
        <v>0</v>
      </c>
      <c r="E54" s="32" t="n">
        <v>-24945</v>
      </c>
      <c r="F54" s="32" t="n">
        <v>0</v>
      </c>
    </row>
    <row r="55" ht="30" customHeight="1">
      <c r="A55" s="22" t="inlineStr">
        <is>
          <t>Денежные средства и их эквиваленты на начало года</t>
        </is>
      </c>
      <c r="B55" s="32" t="n">
        <v>84751912</v>
      </c>
      <c r="C55" s="32" t="n">
        <v>97740953</v>
      </c>
      <c r="D55" s="32" t="n">
        <v>115228890</v>
      </c>
      <c r="E55" s="32" t="n">
        <v>128961243</v>
      </c>
      <c r="F55" s="32" t="n">
        <v>255112842</v>
      </c>
    </row>
    <row r="56" ht="30" customHeight="1">
      <c r="A56" s="22" t="inlineStr">
        <is>
          <t>Денежные средства и их эквиваленты на конец года</t>
        </is>
      </c>
      <c r="B56" s="32">
        <f>B51+B52+B53+B54+B55</f>
        <v/>
      </c>
      <c r="C56" s="32">
        <f>C51+C52+C53+C54+C55</f>
        <v/>
      </c>
      <c r="D56" s="32">
        <f>D51+D52+D53+D54+D55</f>
        <v/>
      </c>
      <c r="E56" s="32">
        <f>E51+E52+E53+E54+E55</f>
        <v/>
      </c>
      <c r="F56" s="32">
        <f>F51+F52+F53+F54+F55</f>
        <v/>
      </c>
    </row>
    <row r="57" ht="30" customHeight="1">
      <c r="A57" s="22" t="inlineStr">
        <is>
          <t>РАСЧЕТНЫЕ ПОКАЗАТЕЛИ</t>
        </is>
      </c>
      <c r="B57" s="32" t="n"/>
      <c r="C57" s="32" t="n"/>
      <c r="D57" s="32" t="n"/>
      <c r="E57" s="32" t="n"/>
      <c r="F57" s="32" t="n"/>
    </row>
    <row r="58" ht="30" customHeight="1">
      <c r="A58" s="22" t="inlineStr">
        <is>
          <t>Capex = приобретение основных средств</t>
        </is>
      </c>
      <c r="B58" s="32">
        <f>-B34</f>
        <v/>
      </c>
      <c r="C58" s="32">
        <f>-C34</f>
        <v/>
      </c>
      <c r="D58" s="32">
        <f>-D34</f>
        <v/>
      </c>
      <c r="E58" s="32">
        <f>-E34</f>
        <v/>
      </c>
      <c r="F58" s="32">
        <f>-F34</f>
        <v/>
      </c>
    </row>
    <row r="59" ht="30" customHeight="1">
      <c r="A59" s="22" t="inlineStr">
        <is>
          <t>FCF = CFO - Capex</t>
        </is>
      </c>
      <c r="B59" s="32">
        <f>B32-B58</f>
        <v/>
      </c>
      <c r="C59" s="32">
        <f>C32-C58</f>
        <v/>
      </c>
      <c r="D59" s="32">
        <f>D32-D58</f>
        <v/>
      </c>
      <c r="E59" s="32">
        <f>E32-E58</f>
        <v/>
      </c>
      <c r="F59" s="32">
        <f>F32-F58</f>
        <v/>
      </c>
    </row>
    <row r="60" ht="30" customHeight="1">
      <c r="A60" s="22" t="inlineStr">
        <is>
          <t>CFO / чистая прибыль</t>
        </is>
      </c>
      <c r="B60" s="24">
        <f>B32/ОПиУ!B31</f>
        <v/>
      </c>
      <c r="C60" s="24">
        <f>C32/ОПиУ!C31</f>
        <v/>
      </c>
      <c r="D60" s="24">
        <f>D32/ОПиУ!D31</f>
        <v/>
      </c>
      <c r="E60" s="24">
        <f>E32/ОПиУ!E31</f>
        <v/>
      </c>
      <c r="F60" s="24">
        <f>F32/ОПиУ!F31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D24" sqref="D24"/>
    </sheetView>
  </sheetViews>
  <sheetFormatPr baseColWidth="8" defaultColWidth="9" defaultRowHeight="14.4"/>
  <cols>
    <col width="42.712962962963" customWidth="1" min="1" max="1"/>
    <col width="16.712962962963" customWidth="1" min="2" max="6"/>
  </cols>
  <sheetData>
    <row r="1">
      <c r="A1" s="14" t="inlineStr">
        <is>
          <t>Коэффициент</t>
        </is>
      </c>
      <c r="B1" s="14" t="n">
        <v>2021</v>
      </c>
      <c r="C1" s="14" t="n">
        <v>2022</v>
      </c>
      <c r="D1" s="14" t="n">
        <v>2023</v>
      </c>
      <c r="E1" s="14" t="n">
        <v>2024</v>
      </c>
      <c r="F1" s="14" t="n">
        <v>2025</v>
      </c>
    </row>
    <row r="2">
      <c r="A2" s="10" t="inlineStr">
        <is>
          <t>Расчетная валовая маржа</t>
        </is>
      </c>
      <c r="B2" s="15">
        <f>(ОПиУ!B7+ОПиУ!B9+ОПиУ!B10+ОПиУ!B12+ОПиУ!B13+ОПиУ!B14)/ОПиУ!B7</f>
        <v/>
      </c>
      <c r="C2" s="15">
        <f>(ОПиУ!C7+ОПиУ!C9+ОПиУ!C10+ОПиУ!C12+ОПиУ!C13+ОПиУ!C14)/ОПиУ!C7</f>
        <v/>
      </c>
      <c r="D2" s="15">
        <f>(ОПиУ!D7+ОПиУ!D9+ОПиУ!D10+ОПиУ!D12+ОПиУ!D13+ОПиУ!D14)/ОПиУ!D7</f>
        <v/>
      </c>
      <c r="E2" s="15">
        <f>(ОПиУ!E7+ОПиУ!E9+ОПиУ!E10+ОПиУ!E12+ОПиУ!E13+ОПиУ!E14)/ОПиУ!E7</f>
        <v/>
      </c>
      <c r="F2" s="15">
        <f>(ОПиУ!F7+ОПиУ!F9+ОПиУ!F10+ОПиУ!F12+ОПиУ!F13+ОПиУ!F14)/ОПиУ!F7</f>
        <v/>
      </c>
    </row>
    <row r="3">
      <c r="A3" s="10" t="inlineStr">
        <is>
          <t>Операционная маржа</t>
        </is>
      </c>
      <c r="B3" s="15">
        <f>ОПиУ!B25/ОПиУ!B7</f>
        <v/>
      </c>
      <c r="C3" s="15">
        <f>ОПиУ!C25/ОПиУ!C7</f>
        <v/>
      </c>
      <c r="D3" s="15">
        <f>ОПиУ!D25/ОПиУ!D7</f>
        <v/>
      </c>
      <c r="E3" s="15">
        <f>ОПиУ!E25/ОПиУ!E7</f>
        <v/>
      </c>
      <c r="F3" s="15">
        <f>ОПиУ!F25/ОПиУ!F7</f>
        <v/>
      </c>
    </row>
    <row r="4">
      <c r="A4" s="10" t="inlineStr">
        <is>
          <t>Чистая маржа</t>
        </is>
      </c>
      <c r="B4" s="15">
        <f>ОПиУ!B31/ОПиУ!B7</f>
        <v/>
      </c>
      <c r="C4" s="15">
        <f>ОПиУ!C31/ОПиУ!C7</f>
        <v/>
      </c>
      <c r="D4" s="15">
        <f>ОПиУ!D31/ОПиУ!D7</f>
        <v/>
      </c>
      <c r="E4" s="15">
        <f>ОПиУ!E31/ОПиУ!E7</f>
        <v/>
      </c>
      <c r="F4" s="15">
        <f>ОПиУ!F31/ОПиУ!F7</f>
        <v/>
      </c>
    </row>
    <row r="5">
      <c r="A5" s="10" t="inlineStr">
        <is>
          <t>Коэффициент текущей ликвидности</t>
        </is>
      </c>
      <c r="B5" s="15">
        <f>(Баланс!B11+Баланс!B12+Баланс!B13+Баланс!B14+Баланс!B15+Баланс!B16+Баланс!B17+Баланс!B18)/(Баланс!B36+Баланс!B37+Баланс!B38+Баланс!B39+Баланс!B40+Баланс!B41+Баланс!B42)</f>
        <v/>
      </c>
      <c r="C5" s="15">
        <f>(Баланс!C11+Баланс!C12+Баланс!C13+Баланс!C14+Баланс!C15+Баланс!C16+Баланс!C17+Баланс!C18)/(Баланс!C36+Баланс!C37+Баланс!C38+Баланс!C39+Баланс!C40+Баланс!C41+Баланс!C42)</f>
        <v/>
      </c>
      <c r="D5" s="15">
        <f>(Баланс!D11+Баланс!D12+Баланс!D13+Баланс!D14+Баланс!D15+Баланс!D16+Баланс!D17+Баланс!D18)/(Баланс!D36+Баланс!D37+Баланс!D38+Баланс!D39+Баланс!D40+Баланс!D41+Баланс!D42)</f>
        <v/>
      </c>
      <c r="E5" s="15">
        <f>(Баланс!E11+Баланс!E12+Баланс!E13+Баланс!E14+Баланс!E15+Баланс!E16+Баланс!E17+Баланс!E18)/(Баланс!E36+Баланс!E37+Баланс!E38+Баланс!E39+Баланс!E40+Баланс!E41+Баланс!E42)</f>
        <v/>
      </c>
      <c r="F5" s="15">
        <f>(Баланс!F11+Баланс!F12+Баланс!F13+Баланс!F14+Баланс!F15+Баланс!F16+Баланс!F17+Баланс!F18)/(Баланс!F36+Баланс!F37+Баланс!F38+Баланс!F39+Баланс!F40+Баланс!F41+Баланс!F42)</f>
        <v/>
      </c>
    </row>
    <row r="6">
      <c r="A6" s="10" t="inlineStr">
        <is>
          <t>Коэффициент быстрой ликвидности</t>
        </is>
      </c>
      <c r="B6" s="15">
        <f>(Баланс!B14+Баланс!B16+Баланс!B17+Баланс!B18)/(Баланс!B36+Баланс!B37+Баланс!B38+Баланс!B39+Баланс!B40+Баланс!B41+Баланс!B42)</f>
        <v/>
      </c>
      <c r="C6" s="15">
        <f>(Баланс!C14+Баланс!C16+Баланс!C17+Баланс!C18)/(Баланс!C36+Баланс!C37+Баланс!C38+Баланс!C39+Баланс!C40+Баланс!C41+Баланс!C42)</f>
        <v/>
      </c>
      <c r="D6" s="15">
        <f>(Баланс!D14+Баланс!D16+Баланс!D17+Баланс!D18)/(Баланс!D36+Баланс!D37+Баланс!D38+Баланс!D39+Баланс!D40+Баланс!D41+Баланс!D42)</f>
        <v/>
      </c>
      <c r="E6" s="15">
        <f>(Баланс!E14+Баланс!E16+Баланс!E17+Баланс!E18)/(Баланс!E36+Баланс!E37+Баланс!E38+Баланс!E39+Баланс!E40+Баланс!E41+Баланс!E42)</f>
        <v/>
      </c>
      <c r="F6" s="15">
        <f>(Баланс!F14+Баланс!F16+Баланс!F17+Баланс!F18)/(Баланс!F36+Баланс!F37+Баланс!F38+Баланс!F39+Баланс!F40+Баланс!F41+Баланс!F42)</f>
        <v/>
      </c>
    </row>
    <row r="7">
      <c r="A7" s="10" t="inlineStr">
        <is>
          <t>Коэффициент абсолютной ликвидности</t>
        </is>
      </c>
      <c r="B7" s="15">
        <f>(Баланс!B17+Баланс!B18)/(Баланс!B36+Баланс!B37+Баланс!B38+Баланс!B39+Баланс!B40+Баланс!B41+Баланс!B42)</f>
        <v/>
      </c>
      <c r="C7" s="15">
        <f>(Баланс!C17+Баланс!C18)/(Баланс!C36+Баланс!C37+Баланс!C38+Баланс!C39+Баланс!C40+Баланс!C41+Баланс!C42)</f>
        <v/>
      </c>
      <c r="D7" s="15">
        <f>(Баланс!D17+Баланс!D18)/(Баланс!D36+Баланс!D37+Баланс!D38+Баланс!D39+Баланс!D40+Баланс!D41+Баланс!D42)</f>
        <v/>
      </c>
      <c r="E7" s="15">
        <f>(Баланс!E17+Баланс!E18)/(Баланс!E36+Баланс!E37+Баланс!E38+Баланс!E39+Баланс!E40+Баланс!E41+Баланс!E42)</f>
        <v/>
      </c>
      <c r="F7" s="15">
        <f>(Баланс!F17+Баланс!F18)/(Баланс!F36+Баланс!F37+Баланс!F38+Баланс!F39+Баланс!F40+Баланс!F41+Баланс!F42)</f>
        <v/>
      </c>
    </row>
    <row r="8">
      <c r="A8" s="10" t="inlineStr">
        <is>
          <t>Коэффициент автономии</t>
        </is>
      </c>
      <c r="B8" s="15">
        <f>Баланс!B29/Баланс!B19</f>
        <v/>
      </c>
      <c r="C8" s="15">
        <f>Баланс!C29/Баланс!C19</f>
        <v/>
      </c>
      <c r="D8" s="15">
        <f>Баланс!D29/Баланс!D19</f>
        <v/>
      </c>
      <c r="E8" s="15">
        <f>Баланс!E29/Баланс!E19</f>
        <v/>
      </c>
      <c r="F8" s="15">
        <f>Баланс!F29/Баланс!F19</f>
        <v/>
      </c>
    </row>
    <row r="9">
      <c r="A9" s="10" t="inlineStr">
        <is>
          <t>Коэффициент финансового левериджа</t>
        </is>
      </c>
      <c r="B9" s="15">
        <f>Баланс!B43/Баланс!B29</f>
        <v/>
      </c>
      <c r="C9" s="15">
        <f>Баланс!C43/Баланс!C29</f>
        <v/>
      </c>
      <c r="D9" s="15">
        <f>Баланс!D43/Баланс!D29</f>
        <v/>
      </c>
      <c r="E9" s="15">
        <f>Баланс!E43/Баланс!E29</f>
        <v/>
      </c>
      <c r="F9" s="15">
        <f>Баланс!F43/Баланс!F29</f>
        <v/>
      </c>
    </row>
    <row r="10">
      <c r="A10" s="10" t="inlineStr">
        <is>
          <t>Покрытие финансовых расходов</t>
        </is>
      </c>
      <c r="B10" s="15">
        <f>ОПиУ!B25/(-ОПиУ!B27)</f>
        <v/>
      </c>
      <c r="C10" s="15">
        <f>ОПиУ!C25/(-ОПиУ!C27)</f>
        <v/>
      </c>
      <c r="D10" s="15">
        <f>ОПиУ!D25/(-ОПиУ!D27)</f>
        <v/>
      </c>
      <c r="E10" s="15">
        <f>ОПиУ!E25/(-ОПиУ!E27)</f>
        <v/>
      </c>
      <c r="F10" s="15">
        <f>ОПиУ!F25/(-ОПиУ!F27)</f>
        <v/>
      </c>
    </row>
    <row r="11">
      <c r="A11" s="10" t="inlineStr">
        <is>
          <t>Чистый оборотный капитал, тыс. тг</t>
        </is>
      </c>
      <c r="B11" s="31">
        <f>(Баланс!B11+Баланс!B12+Баланс!B13+Баланс!B14+Баланс!B15+Баланс!B16+Баланс!B17+Баланс!B18)-(Баланс!B36+Баланс!B37+Баланс!B38+Баланс!B39+Баланс!B40+Баланс!B41+Баланс!B42)</f>
        <v/>
      </c>
      <c r="C11" s="31">
        <f>(Баланс!C11+Баланс!C12+Баланс!C13+Баланс!C14+Баланс!C15+Баланс!C16+Баланс!C17+Баланс!C18)-(Баланс!C36+Баланс!C37+Баланс!C38+Баланс!C39+Баланс!C40+Баланс!C41+Баланс!C42)</f>
        <v/>
      </c>
      <c r="D11" s="31">
        <f>(Баланс!D11+Баланс!D12+Баланс!D13+Баланс!D14+Баланс!D15+Баланс!D16+Баланс!D17+Баланс!D18)-(Баланс!D36+Баланс!D37+Баланс!D38+Баланс!D39+Баланс!D40+Баланс!D41+Баланс!D42)</f>
        <v/>
      </c>
      <c r="E11" s="31">
        <f>(Баланс!E11+Баланс!E12+Баланс!E13+Баланс!E14+Баланс!E15+Баланс!E16+Баланс!E17+Баланс!E18)-(Баланс!E36+Баланс!E37+Баланс!E38+Баланс!E39+Баланс!E40+Баланс!E41+Баланс!E42)</f>
        <v/>
      </c>
      <c r="F11" s="31">
        <f>(Баланс!F11+Баланс!F12+Баланс!F13+Баланс!F14+Баланс!F15+Баланс!F16+Баланс!F17+Баланс!F18)-(Баланс!F36+Баланс!F37+Баланс!F38+Баланс!F39+Баланс!F40+Баланс!F41+Баланс!F42)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"/>
  <sheetViews>
    <sheetView showGridLines="1" workbookViewId="0">
      <pane xSplit="5" ySplit="1" topLeftCell="AB2" activePane="bottomRight" state="frozen"/>
      <selection activeCell="A1" sqref="A1"/>
      <selection pane="topRight" activeCell="A1" sqref="A1"/>
      <selection pane="bottomLeft" activeCell="A1" sqref="A1"/>
      <selection pane="bottomRight" activeCell="AC14" sqref="AC14"/>
    </sheetView>
  </sheetViews>
  <sheetFormatPr baseColWidth="8" defaultColWidth="9" defaultRowHeight="14.4" outlineLevelRow="5"/>
  <cols>
    <col width="14.712962962963" customWidth="1" min="1" max="4"/>
    <col width="48.712962962963" customWidth="1" min="5" max="5"/>
    <col width="18.712962962963" customWidth="1" min="6" max="29"/>
    <col width="18" customWidth="1" min="30" max="31"/>
  </cols>
  <sheetData>
    <row r="1" ht="28.8" customHeight="1">
      <c r="A1" s="14" t="inlineStr">
        <is>
          <t>Год</t>
        </is>
      </c>
      <c r="B1" s="14" t="inlineStr">
        <is>
          <t>Компания</t>
        </is>
      </c>
      <c r="C1" s="14" t="inlineStr">
        <is>
          <t>Валюта</t>
        </is>
      </c>
      <c r="D1" s="14" t="inlineStr">
        <is>
          <t>Масштаб</t>
        </is>
      </c>
      <c r="E1" s="14" t="inlineStr">
        <is>
          <t>Источник</t>
        </is>
      </c>
      <c r="F1" s="14" t="inlineStr">
        <is>
          <t>Выручка всего</t>
        </is>
      </c>
      <c r="G1" s="14" t="inlineStr">
        <is>
          <t>Операционная прибыль</t>
        </is>
      </c>
      <c r="H1" s="14" t="inlineStr">
        <is>
          <t>Чистая прибыль</t>
        </is>
      </c>
      <c r="I1" s="14" t="inlineStr">
        <is>
          <t>Активы всего</t>
        </is>
      </c>
      <c r="J1" s="14" t="inlineStr">
        <is>
          <t>Обязательства всего</t>
        </is>
      </c>
      <c r="K1" s="14" t="inlineStr">
        <is>
          <t>Капитал</t>
        </is>
      </c>
      <c r="L1" s="14" t="inlineStr">
        <is>
          <t>Денежные средства</t>
        </is>
      </c>
      <c r="M1" s="14" t="inlineStr">
        <is>
          <t>Дебиторская задолженность</t>
        </is>
      </c>
      <c r="N1" s="14" t="inlineStr">
        <is>
          <t>Запасы</t>
        </is>
      </c>
      <c r="O1" s="14" t="inlineStr">
        <is>
          <t>Основные средства</t>
        </is>
      </c>
      <c r="P1" s="14" t="inlineStr">
        <is>
          <t>Нематериальные активы</t>
        </is>
      </c>
      <c r="Q1" s="14" t="inlineStr">
        <is>
          <t>Займы всего</t>
        </is>
      </c>
      <c r="R1" s="14" t="inlineStr">
        <is>
          <t>Обязательства по аренде всего</t>
        </is>
      </c>
      <c r="S1" s="14" t="inlineStr">
        <is>
          <t>Итого долг</t>
        </is>
      </c>
      <c r="T1" s="14" t="inlineStr">
        <is>
          <t>CFO</t>
        </is>
      </c>
      <c r="U1" s="14" t="inlineStr">
        <is>
          <t>CFI</t>
        </is>
      </c>
      <c r="V1" s="14" t="inlineStr">
        <is>
          <t>CFF</t>
        </is>
      </c>
      <c r="W1" s="14" t="inlineStr">
        <is>
          <t>Capex</t>
        </is>
      </c>
      <c r="X1" s="14" t="inlineStr">
        <is>
          <t>Операционная маржа</t>
        </is>
      </c>
      <c r="Y1" s="14" t="inlineStr">
        <is>
          <t>Чистая маржа</t>
        </is>
      </c>
      <c r="Z1" s="14" t="inlineStr">
        <is>
          <t>ROA</t>
        </is>
      </c>
      <c r="AA1" s="14" t="inlineStr">
        <is>
          <t>ROE</t>
        </is>
      </c>
      <c r="AB1" s="14" t="inlineStr">
        <is>
          <t>Долг / Активы</t>
        </is>
      </c>
      <c r="AC1" s="14" t="inlineStr">
        <is>
          <t>Долг / Капитал</t>
        </is>
      </c>
      <c r="AD1" s="14" t="inlineStr">
        <is>
          <t>CFO / чистая прибыль</t>
        </is>
      </c>
      <c r="AE1" s="14" t="inlineStr">
        <is>
          <t>FCF</t>
        </is>
      </c>
    </row>
    <row r="2" ht="28.8" customHeight="1">
      <c r="A2" s="9" t="n">
        <v>2021</v>
      </c>
      <c r="B2" s="10" t="inlineStr">
        <is>
          <t>Air Astana</t>
        </is>
      </c>
      <c r="C2" s="10" t="inlineStr">
        <is>
          <t>KZT</t>
        </is>
      </c>
      <c r="D2" s="10" t="inlineStr">
        <is>
          <t>тыс. тенге</t>
        </is>
      </c>
      <c r="E2" s="10" t="inlineStr">
        <is>
          <t>Финансовая отчетность Air Astana; листы Баланс и ОДДС,ОПиУ</t>
        </is>
      </c>
      <c r="F2" s="31">
        <f>ОПиУ!B7</f>
        <v/>
      </c>
      <c r="G2" s="31">
        <f>ОПиУ!B25</f>
        <v/>
      </c>
      <c r="H2" s="31">
        <f>ОПиУ!B31</f>
        <v/>
      </c>
      <c r="I2" s="31">
        <f>Баланс!B19</f>
        <v/>
      </c>
      <c r="J2" s="31">
        <f>Баланс!B43</f>
        <v/>
      </c>
      <c r="K2" s="31">
        <f>Баланс!B29</f>
        <v/>
      </c>
      <c r="L2" s="31">
        <f>Баланс!B17</f>
        <v/>
      </c>
      <c r="M2" s="31">
        <f>Баланс!B14</f>
        <v/>
      </c>
      <c r="N2" s="31">
        <f>Баланс!B11</f>
        <v/>
      </c>
      <c r="O2" s="31">
        <f>Баланс!B4</f>
        <v/>
      </c>
      <c r="P2" s="31">
        <f>Баланс!B5</f>
        <v/>
      </c>
      <c r="Q2" s="31">
        <f>Баланс!B31+Баланс!B36</f>
        <v/>
      </c>
      <c r="R2" s="31">
        <f>Баланс!B32+Баланс!B37</f>
        <v/>
      </c>
      <c r="S2" s="31">
        <f>Q2+R2</f>
        <v/>
      </c>
      <c r="T2" s="31">
        <f>ОДДС!B32</f>
        <v/>
      </c>
      <c r="U2" s="31">
        <f>ОДДС!B40</f>
        <v/>
      </c>
      <c r="V2" s="31">
        <f>ОДДС!B50</f>
        <v/>
      </c>
      <c r="W2" s="31">
        <f>ОДДС!B58</f>
        <v/>
      </c>
      <c r="X2" s="15">
        <f>G2/F2</f>
        <v/>
      </c>
      <c r="Y2" s="15">
        <f>H2/F2</f>
        <v/>
      </c>
      <c r="Z2" s="15">
        <f>H2/I2</f>
        <v/>
      </c>
      <c r="AA2" s="15">
        <f>H2/K2</f>
        <v/>
      </c>
      <c r="AB2" s="15">
        <f>S2/I2</f>
        <v/>
      </c>
      <c r="AC2" s="15">
        <f>S2/K2</f>
        <v/>
      </c>
      <c r="AD2" s="15">
        <f>T2/H2</f>
        <v/>
      </c>
      <c r="AE2" s="31">
        <f>T2-W2</f>
        <v/>
      </c>
    </row>
    <row r="3" ht="28.8" customHeight="1">
      <c r="A3" s="9" t="n">
        <v>2022</v>
      </c>
      <c r="B3" s="10" t="inlineStr">
        <is>
          <t>Air Astana</t>
        </is>
      </c>
      <c r="C3" s="10" t="inlineStr">
        <is>
          <t>KZT</t>
        </is>
      </c>
      <c r="D3" s="10" t="inlineStr">
        <is>
          <t>тыс. тенге</t>
        </is>
      </c>
      <c r="E3" s="10" t="inlineStr">
        <is>
          <t>Финансовая отчетность Air Astana; листы Баланс и ОДДС,ОПиУ</t>
        </is>
      </c>
      <c r="F3" s="31">
        <f>ОПиУ!C7</f>
        <v/>
      </c>
      <c r="G3" s="31">
        <f>ОПиУ!C25</f>
        <v/>
      </c>
      <c r="H3" s="31">
        <f>ОПиУ!C31</f>
        <v/>
      </c>
      <c r="I3" s="31">
        <f>Баланс!C19</f>
        <v/>
      </c>
      <c r="J3" s="31">
        <f>Баланс!C43</f>
        <v/>
      </c>
      <c r="K3" s="31">
        <f>Баланс!C29</f>
        <v/>
      </c>
      <c r="L3" s="31">
        <f>Баланс!C17</f>
        <v/>
      </c>
      <c r="M3" s="31">
        <f>Баланс!C14</f>
        <v/>
      </c>
      <c r="N3" s="31">
        <f>Баланс!C11</f>
        <v/>
      </c>
      <c r="O3" s="31">
        <f>Баланс!C4</f>
        <v/>
      </c>
      <c r="P3" s="31">
        <f>Баланс!C5</f>
        <v/>
      </c>
      <c r="Q3" s="31">
        <f>Баланс!C31+Баланс!C36</f>
        <v/>
      </c>
      <c r="R3" s="31">
        <f>Баланс!C32+Баланс!C37</f>
        <v/>
      </c>
      <c r="S3" s="31">
        <f>Q3+R3</f>
        <v/>
      </c>
      <c r="T3" s="31">
        <f>ОДДС!C32</f>
        <v/>
      </c>
      <c r="U3" s="31">
        <f>ОДДС!C40</f>
        <v/>
      </c>
      <c r="V3" s="31">
        <f>ОДДС!C50</f>
        <v/>
      </c>
      <c r="W3" s="31">
        <f>ОДДС!C58</f>
        <v/>
      </c>
      <c r="X3" s="15">
        <f>G3/F3</f>
        <v/>
      </c>
      <c r="Y3" s="15">
        <f>H3/F3</f>
        <v/>
      </c>
      <c r="Z3" s="15">
        <f>H3/I3</f>
        <v/>
      </c>
      <c r="AA3" s="15">
        <f>H3/K3</f>
        <v/>
      </c>
      <c r="AB3" s="15">
        <f>S3/I3</f>
        <v/>
      </c>
      <c r="AC3" s="15">
        <f>S3/K3</f>
        <v/>
      </c>
      <c r="AD3" s="15">
        <f>T3/H3</f>
        <v/>
      </c>
      <c r="AE3" s="31">
        <f>T3-W3</f>
        <v/>
      </c>
    </row>
    <row r="4" ht="28.8" customHeight="1">
      <c r="A4" s="9" t="n">
        <v>2023</v>
      </c>
      <c r="B4" s="10" t="inlineStr">
        <is>
          <t>Air Astana</t>
        </is>
      </c>
      <c r="C4" s="10" t="inlineStr">
        <is>
          <t>KZT</t>
        </is>
      </c>
      <c r="D4" s="10" t="inlineStr">
        <is>
          <t>тыс. тенге</t>
        </is>
      </c>
      <c r="E4" s="10" t="inlineStr">
        <is>
          <t>Финансовая отчетность Air Astana; листы Баланс и ОДДС,ОПиУ</t>
        </is>
      </c>
      <c r="F4" s="31">
        <f>ОПиУ!D7</f>
        <v/>
      </c>
      <c r="G4" s="31">
        <f>ОПиУ!D25</f>
        <v/>
      </c>
      <c r="H4" s="31">
        <f>ОПиУ!D31</f>
        <v/>
      </c>
      <c r="I4" s="31">
        <f>Баланс!D19</f>
        <v/>
      </c>
      <c r="J4" s="31">
        <f>Баланс!D43</f>
        <v/>
      </c>
      <c r="K4" s="31">
        <f>Баланс!D29</f>
        <v/>
      </c>
      <c r="L4" s="31">
        <f>Баланс!D17</f>
        <v/>
      </c>
      <c r="M4" s="31">
        <f>Баланс!D14</f>
        <v/>
      </c>
      <c r="N4" s="31">
        <f>Баланс!D11</f>
        <v/>
      </c>
      <c r="O4" s="31">
        <f>Баланс!D4</f>
        <v/>
      </c>
      <c r="P4" s="31">
        <f>Баланс!D5</f>
        <v/>
      </c>
      <c r="Q4" s="31">
        <f>Баланс!D31+Баланс!D36</f>
        <v/>
      </c>
      <c r="R4" s="31">
        <f>Баланс!D32+Баланс!D37</f>
        <v/>
      </c>
      <c r="S4" s="31">
        <f>Q4+R4</f>
        <v/>
      </c>
      <c r="T4" s="31">
        <f>ОДДС!D32</f>
        <v/>
      </c>
      <c r="U4" s="31">
        <f>ОДДС!D40</f>
        <v/>
      </c>
      <c r="V4" s="31">
        <f>ОДДС!D50</f>
        <v/>
      </c>
      <c r="W4" s="31">
        <f>ОДДС!D58</f>
        <v/>
      </c>
      <c r="X4" s="15">
        <f>G4/F4</f>
        <v/>
      </c>
      <c r="Y4" s="15">
        <f>H4/F4</f>
        <v/>
      </c>
      <c r="Z4" s="15">
        <f>H4/I4</f>
        <v/>
      </c>
      <c r="AA4" s="15">
        <f>H4/K4</f>
        <v/>
      </c>
      <c r="AB4" s="15">
        <f>S4/I4</f>
        <v/>
      </c>
      <c r="AC4" s="15">
        <f>S4/K4</f>
        <v/>
      </c>
      <c r="AD4" s="15">
        <f>T4/H4</f>
        <v/>
      </c>
      <c r="AE4" s="31">
        <f>T4-W4</f>
        <v/>
      </c>
    </row>
    <row r="5" ht="28.8" customHeight="1">
      <c r="A5" s="9" t="n">
        <v>2024</v>
      </c>
      <c r="B5" s="10" t="inlineStr">
        <is>
          <t>Air Astana</t>
        </is>
      </c>
      <c r="C5" s="10" t="inlineStr">
        <is>
          <t>KZT</t>
        </is>
      </c>
      <c r="D5" s="10" t="inlineStr">
        <is>
          <t>тыс. тенге</t>
        </is>
      </c>
      <c r="E5" s="10" t="inlineStr">
        <is>
          <t>Финансовая отчетность Air Astana; листы Баланс и ОДДС,ОПиУ</t>
        </is>
      </c>
      <c r="F5" s="31">
        <f>ОПиУ!E7</f>
        <v/>
      </c>
      <c r="G5" s="31">
        <f>ОПиУ!E25</f>
        <v/>
      </c>
      <c r="H5" s="31">
        <f>ОПиУ!E31</f>
        <v/>
      </c>
      <c r="I5" s="31">
        <f>Баланс!E19</f>
        <v/>
      </c>
      <c r="J5" s="31">
        <f>Баланс!E43</f>
        <v/>
      </c>
      <c r="K5" s="31">
        <f>Баланс!E29</f>
        <v/>
      </c>
      <c r="L5" s="31">
        <f>Баланс!E17</f>
        <v/>
      </c>
      <c r="M5" s="31">
        <f>Баланс!E14</f>
        <v/>
      </c>
      <c r="N5" s="31">
        <f>Баланс!E11</f>
        <v/>
      </c>
      <c r="O5" s="31">
        <f>Баланс!E4</f>
        <v/>
      </c>
      <c r="P5" s="31">
        <f>Баланс!E5</f>
        <v/>
      </c>
      <c r="Q5" s="31">
        <f>Баланс!E31+Баланс!E36</f>
        <v/>
      </c>
      <c r="R5" s="31">
        <f>Баланс!E32+Баланс!E37</f>
        <v/>
      </c>
      <c r="S5" s="31">
        <f>Q5+R5</f>
        <v/>
      </c>
      <c r="T5" s="31">
        <f>ОДДС!E32</f>
        <v/>
      </c>
      <c r="U5" s="31">
        <f>ОДДС!E40</f>
        <v/>
      </c>
      <c r="V5" s="31">
        <f>ОДДС!E50</f>
        <v/>
      </c>
      <c r="W5" s="31">
        <f>ОДДС!E58</f>
        <v/>
      </c>
      <c r="X5" s="15">
        <f>G5/F5</f>
        <v/>
      </c>
      <c r="Y5" s="15">
        <f>H5/F5</f>
        <v/>
      </c>
      <c r="Z5" s="15">
        <f>H5/I5</f>
        <v/>
      </c>
      <c r="AA5" s="15">
        <f>H5/K5</f>
        <v/>
      </c>
      <c r="AB5" s="15">
        <f>S5/I5</f>
        <v/>
      </c>
      <c r="AC5" s="15">
        <f>S5/K5</f>
        <v/>
      </c>
      <c r="AD5" s="15">
        <f>T5/H5</f>
        <v/>
      </c>
      <c r="AE5" s="31">
        <f>T5-W5</f>
        <v/>
      </c>
    </row>
    <row r="6" ht="28.8" customHeight="1">
      <c r="A6" s="9" t="n">
        <v>2025</v>
      </c>
      <c r="B6" s="10" t="inlineStr">
        <is>
          <t>Air Astana</t>
        </is>
      </c>
      <c r="C6" s="10" t="inlineStr">
        <is>
          <t>KZT</t>
        </is>
      </c>
      <c r="D6" s="10" t="inlineStr">
        <is>
          <t>тыс. тенге</t>
        </is>
      </c>
      <c r="E6" s="10" t="inlineStr">
        <is>
          <t>Финансовая отчетность Air Astana; листы Баланс и ОДДС,ОПиУ</t>
        </is>
      </c>
      <c r="F6" s="31">
        <f>ОПиУ!F7</f>
        <v/>
      </c>
      <c r="G6" s="31">
        <f>ОПиУ!F25</f>
        <v/>
      </c>
      <c r="H6" s="31">
        <f>ОПиУ!F31</f>
        <v/>
      </c>
      <c r="I6" s="31">
        <f>Баланс!F19</f>
        <v/>
      </c>
      <c r="J6" s="31">
        <f>Баланс!F43</f>
        <v/>
      </c>
      <c r="K6" s="31">
        <f>Баланс!F29</f>
        <v/>
      </c>
      <c r="L6" s="31">
        <f>Баланс!F17</f>
        <v/>
      </c>
      <c r="M6" s="31">
        <f>Баланс!F14</f>
        <v/>
      </c>
      <c r="N6" s="31">
        <f>Баланс!F11</f>
        <v/>
      </c>
      <c r="O6" s="31">
        <f>Баланс!F4</f>
        <v/>
      </c>
      <c r="P6" s="31">
        <f>Баланс!F5</f>
        <v/>
      </c>
      <c r="Q6" s="31">
        <f>Баланс!F31+Баланс!F36</f>
        <v/>
      </c>
      <c r="R6" s="31">
        <f>Баланс!F32+Баланс!F37</f>
        <v/>
      </c>
      <c r="S6" s="31">
        <f>Q6+R6</f>
        <v/>
      </c>
      <c r="T6" s="31">
        <f>ОДДС!F32</f>
        <v/>
      </c>
      <c r="U6" s="31">
        <f>ОДДС!F40</f>
        <v/>
      </c>
      <c r="V6" s="31">
        <f>ОДДС!F50</f>
        <v/>
      </c>
      <c r="W6" s="31">
        <f>ОДДС!F58</f>
        <v/>
      </c>
      <c r="X6" s="15">
        <f>G6/F6</f>
        <v/>
      </c>
      <c r="Y6" s="15">
        <f>H6/F6</f>
        <v/>
      </c>
      <c r="Z6" s="15">
        <f>H6/I6</f>
        <v/>
      </c>
      <c r="AA6" s="15">
        <f>H6/K6</f>
        <v/>
      </c>
      <c r="AB6" s="15">
        <f>S6/I6</f>
        <v/>
      </c>
      <c r="AC6" s="15">
        <f>S6/K6</f>
        <v/>
      </c>
      <c r="AD6" s="15">
        <f>T6/H6</f>
        <v/>
      </c>
      <c r="AE6" s="31">
        <f>T6-W6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C11" sqref="C11"/>
    </sheetView>
  </sheetViews>
  <sheetFormatPr baseColWidth="8" defaultColWidth="9" defaultRowHeight="14.4" outlineLevelRow="5"/>
  <cols>
    <col width="34.712962962963" customWidth="1" min="1" max="1"/>
    <col width="18.712962962963" customWidth="1" min="2" max="6"/>
  </cols>
  <sheetData>
    <row r="1">
      <c r="A1" s="14" t="inlineStr">
        <is>
          <t>Проверка</t>
        </is>
      </c>
      <c r="B1" s="14" t="n">
        <v>2021</v>
      </c>
      <c r="C1" s="14" t="n">
        <v>2022</v>
      </c>
      <c r="D1" s="14" t="n">
        <v>2023</v>
      </c>
      <c r="E1" s="14" t="n">
        <v>2024</v>
      </c>
      <c r="F1" s="14" t="n">
        <v>2025</v>
      </c>
    </row>
    <row r="2">
      <c r="A2" s="10" t="inlineStr">
        <is>
          <t>Баланс сходится</t>
        </is>
      </c>
      <c r="B2" s="15">
        <f>Инпут!I2-Инпут!J2-Инпут!K2</f>
        <v/>
      </c>
      <c r="C2" s="15">
        <f>Инпут!I3-Инпут!J3-Инпут!K3</f>
        <v/>
      </c>
      <c r="D2" s="15">
        <f>Инпут!I4-Инпут!J4-Инпут!K4</f>
        <v/>
      </c>
      <c r="E2" s="15">
        <f>Инпут!I5-Инпут!J5-Инпут!K5</f>
        <v/>
      </c>
      <c r="F2" s="15">
        <f>Инпут!I6-Инпут!J6-Инпут!K6</f>
        <v/>
      </c>
    </row>
    <row r="3">
      <c r="A3" s="10" t="inlineStr">
        <is>
          <t>Валюта</t>
        </is>
      </c>
      <c r="B3" s="15">
        <f>Инпут!C2</f>
        <v/>
      </c>
      <c r="C3" s="15">
        <f>Инпут!C3</f>
        <v/>
      </c>
      <c r="D3" s="15">
        <f>Инпут!C4</f>
        <v/>
      </c>
      <c r="E3" s="15">
        <f>Инпут!C5</f>
        <v/>
      </c>
      <c r="F3" s="15">
        <f>Инпут!C6</f>
        <v/>
      </c>
    </row>
    <row r="4">
      <c r="A4" s="10" t="inlineStr">
        <is>
          <t>Масштаб</t>
        </is>
      </c>
      <c r="B4" s="15">
        <f>Инпут!D2</f>
        <v/>
      </c>
      <c r="C4" s="15">
        <f>Инпут!D3</f>
        <v/>
      </c>
      <c r="D4" s="15">
        <f>Инпут!D4</f>
        <v/>
      </c>
      <c r="E4" s="15">
        <f>Инпут!D5</f>
        <v/>
      </c>
      <c r="F4" s="15">
        <f>Инпут!D6</f>
        <v/>
      </c>
    </row>
    <row r="5">
      <c r="A5" s="10" t="inlineStr">
        <is>
          <t>CFO</t>
        </is>
      </c>
      <c r="B5" s="10">
        <f>Инпут!T2</f>
        <v/>
      </c>
      <c r="C5" s="10">
        <f>Инпут!T3</f>
        <v/>
      </c>
      <c r="D5" s="10">
        <f>Инпут!T4</f>
        <v/>
      </c>
      <c r="E5" s="10">
        <f>Инпут!T5</f>
        <v/>
      </c>
      <c r="F5" s="10">
        <f>Инпут!T6</f>
        <v/>
      </c>
    </row>
    <row r="6">
      <c r="A6" s="10" t="inlineStr">
        <is>
          <t>FCF</t>
        </is>
      </c>
      <c r="B6" s="10">
        <f>Инпут!T2-Инпут!W2</f>
        <v/>
      </c>
      <c r="C6" s="10">
        <f>Инпут!T3-Инпут!W3</f>
        <v/>
      </c>
      <c r="D6" s="10">
        <f>Инпут!T4-Инпут!W4</f>
        <v/>
      </c>
      <c r="E6" s="10">
        <f>Инпут!T5-Инпут!W5</f>
        <v/>
      </c>
      <c r="F6" s="10">
        <f>Инпут!T6-Инпут!W6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B10" sqref="B10"/>
    </sheetView>
  </sheetViews>
  <sheetFormatPr baseColWidth="8" defaultColWidth="9" defaultRowHeight="14.4" outlineLevelRow="7"/>
  <cols>
    <col width="16.712962962963" customWidth="1" min="1" max="1"/>
    <col width="44.712962962963" customWidth="1" min="2" max="2"/>
    <col width="100.712962962963" customWidth="1" min="3" max="3"/>
    <col width="52" customWidth="1" min="4" max="4"/>
  </cols>
  <sheetData>
    <row r="1">
      <c r="A1" s="25" t="inlineStr">
        <is>
          <t>Год</t>
        </is>
      </c>
      <c r="B1" s="25" t="inlineStr">
        <is>
          <t>Документ</t>
        </is>
      </c>
      <c r="C1" s="25" t="inlineStr">
        <is>
          <t>Файл / ссылка</t>
        </is>
      </c>
      <c r="D1" s="25" t="inlineStr">
        <is>
          <t>Комментарий для сдачи</t>
        </is>
      </c>
    </row>
    <row r="2">
      <c r="A2" s="26" t="inlineStr">
        <is>
          <t>2021</t>
        </is>
      </c>
      <c r="B2" s="26" t="inlineStr">
        <is>
          <t>Финансовая отчетность Air Astana за 2021 год</t>
        </is>
      </c>
      <c r="C2" s="26" t="inlineStr">
        <is>
          <t>C:/Users/malin/Downloads/финансовая_отчетность-_за_2021_год.pdf</t>
        </is>
      </c>
      <c r="D2" s="26" t="inlineStr">
        <is>
          <t>Для GitHub лучше добавить публичный URL или приложить PDF в data/sources.</t>
        </is>
      </c>
    </row>
    <row r="3">
      <c r="A3" s="26" t="inlineStr">
        <is>
          <t>2022</t>
        </is>
      </c>
      <c r="B3" s="26" t="inlineStr">
        <is>
          <t>Финансовая отчетность Air Astana за 2022 год</t>
        </is>
      </c>
      <c r="C3" s="26" t="inlineStr">
        <is>
          <t>C:/Users/malin/Downloads/fs_aa_kzt_2022_signed.pdf</t>
        </is>
      </c>
      <c r="D3" s="26" t="inlineStr">
        <is>
          <t>Для GitHub лучше добавить публичный URL или приложить PDF в data/sources.</t>
        </is>
      </c>
    </row>
    <row r="4">
      <c r="A4" s="26" t="inlineStr">
        <is>
          <t>2023-2025</t>
        </is>
      </c>
      <c r="B4" s="26" t="inlineStr">
        <is>
          <t>Исходный Excel с анализом</t>
        </is>
      </c>
      <c r="C4" s="26" t="inlineStr">
        <is>
          <t>C:/Users/malin/Downloads/ЭйрАстана.xlsx</t>
        </is>
      </c>
      <c r="D4" s="26" t="inlineStr">
        <is>
          <t>Проверь валюту исходного файла: Input приведен в KZT, тыс. тенге.</t>
        </is>
      </c>
    </row>
    <row r="5">
      <c r="A5" s="26" t="inlineStr">
        <is>
          <t>2021-2022</t>
        </is>
      </c>
      <c r="B5" s="26" t="inlineStr">
        <is>
          <t>Полный ОДДС</t>
        </is>
      </c>
      <c r="C5" s="26" t="inlineStr">
        <is>
          <t>Финансовая отчетность Air Astana за 2021-2022 годы</t>
        </is>
      </c>
      <c r="D5" s="26" t="inlineStr">
        <is>
          <t>Используется для полного ОДДС.</t>
        </is>
      </c>
    </row>
    <row r="6">
      <c r="A6" s="26" t="inlineStr">
        <is>
          <t>2023</t>
        </is>
      </c>
      <c r="B6" s="26" t="inlineStr">
        <is>
          <t>Полный ОДДС</t>
        </is>
      </c>
      <c r="C6" s="26" t="inlineStr">
        <is>
          <t>https://ir.airastana.com/media/8dc44aa8f61bda7/aa-fs-2023-conso-usd.pdf</t>
        </is>
      </c>
      <c r="D6" s="26" t="inlineStr">
        <is>
          <t>Проверь, что значения приведены к KZT, если ссылка на USD-отчет.</t>
        </is>
      </c>
    </row>
    <row r="7">
      <c r="A7" s="26" t="inlineStr">
        <is>
          <t>2024</t>
        </is>
      </c>
      <c r="B7" s="26" t="inlineStr">
        <is>
          <t>Полный ОДДС</t>
        </is>
      </c>
      <c r="C7" s="26" t="inlineStr">
        <is>
          <t>https://ir.airastana.com/media/8dd62d1cc357574/fs-aa-usd-2024-conso-eng-final-signed.pdf</t>
        </is>
      </c>
      <c r="D7" s="26" t="inlineStr">
        <is>
          <t>Проверь, что значения приведены к KZT, если ссылка на USD-отчет.</t>
        </is>
      </c>
    </row>
    <row r="8">
      <c r="A8" s="26" t="inlineStr">
        <is>
          <t>2025</t>
        </is>
      </c>
      <c r="B8" s="26" t="inlineStr">
        <is>
          <t>Полный ОДДС</t>
        </is>
      </c>
      <c r="C8" s="26" t="inlineStr">
        <is>
          <t>https://ir.airastana.com/media/8de832fbd001d0b/fs-aa-usd-2025-eng-final-formatted-signed-final.pdf</t>
        </is>
      </c>
      <c r="D8" s="26" t="inlineStr">
        <is>
          <t>Проверь, что значения приведены к KZT, если ссылка на USD-отчет.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56" customWidth="1" min="3" max="3"/>
    <col width="46" customWidth="1" min="4" max="4"/>
  </cols>
  <sheetData>
    <row r="1">
      <c r="A1" s="25" t="inlineStr">
        <is>
          <t>Поле / группа полей</t>
        </is>
      </c>
      <c r="B1" s="25" t="inlineStr">
        <is>
          <t>Статус по ТЗ</t>
        </is>
      </c>
      <c r="C1" s="25" t="inlineStr">
        <is>
          <t>Что означает</t>
        </is>
      </c>
      <c r="D1" s="25" t="inlineStr">
        <is>
          <t>Источник / расчет</t>
        </is>
      </c>
    </row>
    <row r="2">
      <c r="A2" s="26" t="inlineStr">
        <is>
          <t>Год, Компания, Период анализа</t>
        </is>
      </c>
      <c r="B2" s="26" t="inlineStr">
        <is>
          <t>Обязательно</t>
        </is>
      </c>
      <c r="C2" s="26" t="inlineStr">
        <is>
          <t>Идентификация компании и периода анализа</t>
        </is>
      </c>
      <c r="D2" s="26" t="inlineStr">
        <is>
          <t>Заполняется в Input_Complete</t>
        </is>
      </c>
    </row>
    <row r="3">
      <c r="A3" s="26" t="inlineStr">
        <is>
          <t>Валюта, Масштаб</t>
        </is>
      </c>
      <c r="B3" s="26" t="inlineStr">
        <is>
          <t>Обязательно</t>
        </is>
      </c>
      <c r="C3" s="26" t="inlineStr">
        <is>
          <t>Единая валюта и единицы измерения</t>
        </is>
      </c>
      <c r="D3" s="26" t="inlineStr">
        <is>
          <t>KZT, тыс. тенге; проверяется в Checks_Complete</t>
        </is>
      </c>
    </row>
    <row r="4">
      <c r="A4" s="26" t="inlineStr">
        <is>
          <t>Источник, Notes/MD&amp;A</t>
        </is>
      </c>
      <c r="B4" s="26" t="inlineStr">
        <is>
          <t>Обязательно</t>
        </is>
      </c>
      <c r="C4" s="26" t="inlineStr">
        <is>
          <t>Откуда взяты ключевые цифры и раскрытия</t>
        </is>
      </c>
      <c r="D4" s="26" t="inlineStr">
        <is>
          <t>Лист Источники + годовые отчеты</t>
        </is>
      </c>
    </row>
    <row r="5">
      <c r="A5" s="26" t="inlineStr">
        <is>
          <t>Выручка всего</t>
        </is>
      </c>
      <c r="B5" s="26" t="inlineStr">
        <is>
          <t>Обязательно</t>
        </is>
      </c>
      <c r="C5" s="26" t="inlineStr">
        <is>
          <t>Всего выручки и прочих доходов</t>
        </is>
      </c>
      <c r="D5" s="26" t="inlineStr">
        <is>
          <t>ОПиУ строка 7</t>
        </is>
      </c>
    </row>
    <row r="6">
      <c r="A6" s="26" t="inlineStr">
        <is>
          <t>Себестоимость / прямые операционные расходы</t>
        </is>
      </c>
      <c r="B6" s="26" t="inlineStr">
        <is>
          <t>Обязательно, адаптировано</t>
        </is>
      </c>
      <c r="C6" s="26" t="inlineStr">
        <is>
          <t>Расчетная себестоимость для авиакомпании</t>
        </is>
      </c>
      <c r="D6" s="26" t="inlineStr">
        <is>
          <t>ОПиУ строки 9, 10, 12, 13, 14</t>
        </is>
      </c>
    </row>
    <row r="7">
      <c r="A7" s="26" t="inlineStr">
        <is>
          <t>Валовая прибыль расчетная</t>
        </is>
      </c>
      <c r="B7" s="26" t="inlineStr">
        <is>
          <t>Если применимо</t>
        </is>
      </c>
      <c r="C7" s="26" t="inlineStr">
        <is>
          <t>Расчетная прибыль после прямых операционных расходов</t>
        </is>
      </c>
      <c r="D7" s="26" t="inlineStr">
        <is>
          <t>Выручка + прямые расходы</t>
        </is>
      </c>
    </row>
    <row r="8">
      <c r="A8" s="26" t="inlineStr">
        <is>
          <t>Операционная прибыль, фин. доходы/расходы, налог, чистая прибыль</t>
        </is>
      </c>
      <c r="B8" s="26" t="inlineStr">
        <is>
          <t>Обязательно</t>
        </is>
      </c>
      <c r="C8" s="26" t="inlineStr">
        <is>
          <t>Основные строки ОПиУ</t>
        </is>
      </c>
      <c r="D8" s="26" t="inlineStr">
        <is>
          <t>ОПиУ строки 25, 26, 27, 30, 31</t>
        </is>
      </c>
    </row>
    <row r="9">
      <c r="A9" s="26" t="inlineStr">
        <is>
          <t>Активы, деньги, дебиторка, запасы, ОС, НМА</t>
        </is>
      </c>
      <c r="B9" s="26" t="inlineStr">
        <is>
          <t>Обязательно</t>
        </is>
      </c>
      <c r="C9" s="26" t="inlineStr">
        <is>
          <t>Основные строки активов</t>
        </is>
      </c>
      <c r="D9" s="26" t="inlineStr">
        <is>
          <t>Баланс</t>
        </is>
      </c>
    </row>
    <row r="10">
      <c r="A10" s="26" t="inlineStr">
        <is>
          <t>Обязательства, займы, аренда, капитал</t>
        </is>
      </c>
      <c r="B10" s="26" t="inlineStr">
        <is>
          <t>Обязательно</t>
        </is>
      </c>
      <c r="C10" s="26" t="inlineStr">
        <is>
          <t>Структура финансирования и долга</t>
        </is>
      </c>
      <c r="D10" s="26" t="inlineStr">
        <is>
          <t>Баланс</t>
        </is>
      </c>
    </row>
    <row r="11">
      <c r="A11" s="26" t="inlineStr">
        <is>
          <t>CFO, CFI, CFF, Capex, дивиденды</t>
        </is>
      </c>
      <c r="B11" s="26" t="inlineStr">
        <is>
          <t>Обязательно</t>
        </is>
      </c>
      <c r="C11" s="26" t="inlineStr">
        <is>
          <t>Денежные потоки, инвестиции и выплаты акционерам</t>
        </is>
      </c>
      <c r="D11" s="26" t="inlineStr">
        <is>
          <t>ОДДС строки 32, 40, 50, 34, 49</t>
        </is>
      </c>
    </row>
    <row r="12">
      <c r="A12" s="26" t="inlineStr">
        <is>
          <t>Коэффициенты и отраслевые метрики</t>
        </is>
      </c>
      <c r="B12" s="26" t="inlineStr">
        <is>
          <t>Для блоков 2-4</t>
        </is>
      </c>
      <c r="C12" s="26" t="inlineStr">
        <is>
          <t>Готовые признаки для анализа, качества и прогноза</t>
        </is>
      </c>
      <c r="D12" s="26" t="inlineStr">
        <is>
          <t>Расчет из нормализованных строк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25" t="inlineStr">
        <is>
          <t>Раздел</t>
        </is>
      </c>
      <c r="B1" s="25" t="inlineStr">
        <is>
          <t>Текст для методологии / приложения</t>
        </is>
      </c>
    </row>
    <row r="2">
      <c r="A2" s="26" t="inlineStr">
        <is>
          <t>Ограничение по валовой прибыли</t>
        </is>
      </c>
      <c r="B2" s="26" t="inlineStr">
        <is>
          <t>Air Astana раскрывает операционные расходы по статьям, но не отдельную классическую себестоимость продаж. Поэтому для Input используется расчетная валовая прибыль на основе ключевых прямых расходов авиакомпании: топливо, персонал и экипаж, техническое обслуживание, аэропортовое обслуживание и обслуживание пассажиров.</t>
        </is>
      </c>
    </row>
    <row r="3">
      <c r="A3" s="26" t="inlineStr">
        <is>
          <t>Ограничение по источникам</t>
        </is>
      </c>
      <c r="B3" s="26" t="inlineStr">
        <is>
          <t>Каждая ключевая цифра связана с финансовой отчетностью соответствующего года. Для финальной сдачи желательно заменить локальные пути на публичные URL или приложить файлы отчетности в data/sources.</t>
        </is>
      </c>
    </row>
    <row r="4">
      <c r="A4" s="26" t="inlineStr">
        <is>
          <t>Ограничение по валюте</t>
        </is>
      </c>
      <c r="B4" s="26" t="inlineStr">
        <is>
          <t>Input приведен в KZT, тыс. тенге. Если отдельные исходные отчеты за 2023-2025 использовались в USD, в методологии нужно явно описать пересчет или заменить источник на KZT-версию отчетности.</t>
        </is>
      </c>
    </row>
    <row r="5">
      <c r="A5" s="26" t="inlineStr">
        <is>
          <t>Назначение файла</t>
        </is>
      </c>
      <c r="B5" s="26" t="inlineStr">
        <is>
          <t>Лист Input_Complete является основным sample input file для приложения. Остальные листы сохраняют исходные расшифровки и проверки.</t>
        </is>
      </c>
    </row>
    <row r="6">
      <c r="A6" s="26" t="inlineStr">
        <is>
          <t>Что закрывает блок 1</t>
        </is>
      </c>
      <c r="B6" s="26" t="inlineStr">
        <is>
          <t>Файл показывает компанию, период, источники, основные financial statements за 5 лет, нормализованные строки, валюту/масштаб и базовую арифметику.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2026-06-18T08:29:00Z</dcterms:created>
  <dcterms:modified xmlns:dcterms="http://purl.org/dc/terms/" xmlns:xsi="http://www.w3.org/2001/XMLSchema-instance" xsi:type="dcterms:W3CDTF">2026-06-18T09:38:43Z</dcterms:modified>
  <cp:lastModifiedBy>Малинур Сайдика�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C64B9A39F71B4F2FBA9626BFDB57288E_13</vt:lpwstr>
  </property>
  <property name="KSOProductBuildVer" fmtid="{D5CDD505-2E9C-101B-9397-08002B2CF9AE}" pid="3">
    <vt:lpwstr xmlns:vt="http://schemas.openxmlformats.org/officeDocument/2006/docPropsVTypes">1049-12.2.0.23197</vt:lpwstr>
  </property>
</Properties>
</file>